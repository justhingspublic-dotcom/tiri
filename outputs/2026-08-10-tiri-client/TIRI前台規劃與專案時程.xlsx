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504927261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台規劃表" sheetId="1" r:id="R5f6fff79f01848a5"/>
    <x:sheet xmlns:r="http://schemas.openxmlformats.org/officeDocument/2006/relationships" name="專案時程表" sheetId="2" r:id="R8e885149525d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"/>
  </x:numFmts>
  <x:fonts count="22">
    <x:font>
      <x:sz val="11"/>
      <x:name val="Carlito"/>
    </x:font>
    <x:font>
      <x:b/>
      <x:sz val="20"/>
      <x:color rgb="FFFFFFFF"/>
      <x:name val="Carlito"/>
    </x:font>
    <x:font>
      <x:sz val="10"/>
      <x:color rgb="FF203A5F"/>
      <x:name val="Carlito"/>
    </x:font>
    <x:font>
      <x:b/>
      <x:sz val="20"/>
      <x:color rgb="FFFFFFFF"/>
      <x:name val="Noto Sans TC"/>
    </x:font>
    <x:font>
      <x:sz val="10"/>
      <x:color rgb="FF203A5F"/>
      <x:name val="Noto Sans TC"/>
    </x:font>
    <x:font>
      <x:sz val="11"/>
      <x:name val="Noto Sans TC"/>
    </x:font>
    <x:font>
      <x:b/>
      <x:sz val="13"/>
      <x:color rgb="FFFFFFFF"/>
      <x:name val="Noto Sans TC"/>
    </x:font>
    <x:font>
      <x:i/>
      <x:sz val="9"/>
      <x:color rgb="FF64748B"/>
      <x:name val="Noto Sans TC"/>
    </x:font>
    <x:font>
      <x:b/>
      <x:sz val="11"/>
      <x:color rgb="FFFFFFFF"/>
      <x:name val="Noto Sans TC"/>
    </x:font>
    <x:font>
      <x:b/>
      <x:sz val="10"/>
      <x:color rgb="FFFFFFFF"/>
      <x:name val="Noto Sans TC"/>
    </x:font>
    <x:font>
      <x:b/>
      <x:sz val="9"/>
      <x:color rgb="FF1F3B23"/>
      <x:name val="Noto Sans TC"/>
    </x:font>
    <x:font>
      <x:b/>
      <x:sz val="9"/>
      <x:color rgb="FFFFFFFF"/>
      <x:name val="Noto Sans TC"/>
    </x:font>
    <x:font>
      <x:b/>
      <x:sz val="8"/>
      <x:color rgb="FFFFFFFF"/>
      <x:name val="Noto Sans TC"/>
    </x:font>
    <x:font>
      <x:sz val="9"/>
      <x:color rgb="FF243241"/>
      <x:name val="Noto Sans TC"/>
    </x:font>
    <x:font>
      <x:sz val="14"/>
      <x:color rgb="FF2F5F8F"/>
      <x:name val="Noto Sans TC"/>
    </x:font>
    <x:font>
      <x:sz val="14"/>
      <x:color rgb="FF775DA6"/>
      <x:name val="Noto Sans TC"/>
    </x:font>
    <x:font>
      <x:sz val="14"/>
      <x:color rgb="FF18AFC0"/>
      <x:name val="Noto Sans TC"/>
    </x:font>
    <x:font>
      <x:sz val="14"/>
      <x:color rgb="FF3B9BA5"/>
      <x:name val="Noto Sans TC"/>
    </x:font>
    <x:font>
      <x:sz val="14"/>
      <x:color rgb="FF2E8B57"/>
      <x:name val="Noto Sans TC"/>
    </x:font>
    <x:font>
      <x:sz val="14"/>
      <x:color rgb="FF4C956C"/>
      <x:name val="Noto Sans TC"/>
    </x:font>
    <x:font>
      <x:sz val="14"/>
      <x:color rgb="FFE3A008"/>
      <x:name val="Noto Sans TC"/>
    </x:font>
    <x:font>
      <x:b/>
      <x:sz val="9"/>
      <x:color rgb="FF8A5A00"/>
      <x:name val="Noto Sans TC"/>
    </x:font>
  </x:fonts>
  <x:fills count="17">
    <x:fill>
      <x:patternFill patternType="none"/>
    </x:fill>
    <x:fill>
      <x:patternFill patternType="gray125"/>
    </x:fill>
    <x:fill>
      <x:patternFill patternType="solid">
        <x:fgColor rgb="FF203A5F"/>
      </x:patternFill>
    </x:fill>
    <x:fill>
      <x:patternFill patternType="solid">
        <x:fgColor rgb="FFE8EEF5"/>
      </x:patternFill>
    </x:fill>
    <x:fill>
      <x:patternFill patternType="solid">
        <x:fgColor rgb="FF4A90C2"/>
      </x:patternFill>
    </x:fill>
    <x:fill>
      <x:patternFill patternType="solid">
        <x:fgColor rgb="FFD85B59"/>
      </x:patternFill>
    </x:fill>
    <x:fill>
      <x:patternFill patternType="solid">
        <x:fgColor rgb="FF18AFC0"/>
      </x:patternFill>
    </x:fill>
    <x:fill>
      <x:patternFill patternType="solid">
        <x:fgColor rgb="FF94BE3F"/>
      </x:patternFill>
    </x:fill>
    <x:fill>
      <x:patternFill patternType="solid">
        <x:fgColor rgb="FF2F5F8F"/>
      </x:patternFill>
    </x:fill>
    <x:fill>
      <x:patternFill patternType="solid">
        <x:fgColor rgb="FF775DA6"/>
      </x:patternFill>
    </x:fill>
    <x:fill>
      <x:patternFill patternType="solid">
        <x:fgColor rgb="FF3B9BA5"/>
      </x:patternFill>
    </x:fill>
    <x:fill>
      <x:patternFill patternType="solid">
        <x:fgColor rgb="FF2E8B57"/>
      </x:patternFill>
    </x:fill>
    <x:fill>
      <x:patternFill patternType="solid">
        <x:fgColor rgb="FF4C956C"/>
      </x:patternFill>
    </x:fill>
    <x:fill>
      <x:patternFill patternType="solid">
        <x:fgColor rgb="FFE3A008"/>
      </x:patternFill>
    </x:fill>
    <x:fill>
      <x:patternFill patternType="solid">
        <x:fgColor rgb="FFEEF1F4"/>
      </x:patternFill>
    </x:fill>
    <x:fill>
      <x:patternFill patternType="solid">
        <x:fgColor rgb="FF6B7280"/>
      </x:patternFill>
    </x:fill>
    <x:fill>
      <x:patternFill patternType="solid">
        <x:fgColor rgb="FFFFF7E6"/>
      </x:patternFill>
    </x:fill>
  </x:fills>
  <x:borders count="18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left style="thin">
        <x:color rgb="FFE3A008"/>
      </x:left>
      <x:top style="thin">
        <x:color rgb="FFE3A008"/>
      </x:top>
    </x:border>
    <x:border>
      <x:top style="thin">
        <x:color rgb="FFE3A008"/>
      </x:top>
    </x:border>
    <x:border>
      <x:right style="thin">
        <x:color rgb="FFE3A008"/>
      </x:right>
      <x:top style="thin">
        <x:color rgb="FFE3A008"/>
      </x:top>
    </x:border>
    <x:border>
      <x:left style="thin">
        <x:color rgb="FFE3A008"/>
      </x:left>
      <x:bottom style="thin">
        <x:color rgb="FFE3A008"/>
      </x:bottom>
    </x:border>
    <x:border>
      <x:bottom style="thin">
        <x:color rgb="FFE3A008"/>
      </x:bottom>
    </x:border>
    <x:border>
      <x:right style="thin">
        <x:color rgb="FFE3A008"/>
      </x:right>
      <x:bottom style="thin">
        <x:color rgb="FFE3A008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7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9" fillId="6" borderId="8" xfId="0" applyNumberFormat="1" applyFont="1" applyFill="1" applyBorder="1" applyAlignment="1">
      <x:alignment horizontal="center" vertical="center" wrapText="1"/>
    </x:xf>
    <x:xf numFmtId="0" fontId="9" fillId="6" borderId="9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7" xfId="0" applyNumberFormat="1" applyFont="1" applyFill="1" applyBorder="1" applyAlignment="1">
      <x:alignment horizontal="center" vertical="center" wrapText="1"/>
    </x:xf>
    <x:xf numFmtId="0" fontId="10" fillId="7" borderId="8" xfId="0" applyNumberFormat="1" applyFont="1" applyFill="1" applyBorder="1" applyAlignment="1">
      <x:alignment horizontal="center" vertical="center" wrapText="1"/>
    </x:xf>
    <x:xf numFmtId="0" fontId="10" fillId="7" borderId="9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horizontal="center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0" fillId="7" borderId="2" xfId="0" applyNumberFormat="1" applyFont="1" applyFill="1" applyBorder="1" applyAlignment="1">
      <x:alignment horizontal="center"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10" fillId="7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horizontal="center" vertical="center" wrapText="1"/>
    </x:xf>
    <x:xf numFmtId="0" fontId="10" fillId="7" borderId="6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200" fontId="5" fillId="2" borderId="0" xfId="0" applyNumberFormat="1" applyFont="1" applyFill="1" applyBorder="1"/>
    <x:xf numFmtId="200" fontId="12" fillId="2" borderId="0" xfId="0" applyNumberFormat="1" applyFont="1" applyFill="1" applyBorder="1"/>
    <x:xf numFmtId="200" fontId="12" fillId="2" borderId="0" xfId="0" applyNumberFormat="1" applyFont="1" applyFill="1" applyBorder="1" applyAlignment="1">
      <x:alignment horizontal="center"/>
    </x:xf>
    <x:xf numFmtId="200" fontId="12" fillId="2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13" fillId="0" borderId="11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horizontal="center" vertical="center" wrapText="1"/>
    </x:xf>
    <x:xf numFmtId="0" fontId="13" fillId="0" borderId="1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3" fillId="8" borderId="10" xfId="0" applyNumberFormat="1" applyFont="1" applyFill="1" applyBorder="1" applyAlignment="1">
      <x:alignment horizontal="center" vertical="center" wrapText="1"/>
    </x:xf>
    <x:xf numFmtId="0" fontId="11" fillId="8" borderId="1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vertical="center"/>
    </x:xf>
    <x:xf numFmtId="0" fontId="13" fillId="9" borderId="11" xfId="0" applyNumberFormat="1" applyFont="1" applyFill="1" applyBorder="1" applyAlignment="1">
      <x:alignment horizontal="center" vertical="center" wrapText="1"/>
    </x:xf>
    <x:xf numFmtId="0" fontId="11" fillId="9" borderId="11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/>
    </x:xf>
    <x:xf numFmtId="0" fontId="13" fillId="6" borderId="11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center" vertical="center"/>
    </x:xf>
    <x:xf numFmtId="0" fontId="13" fillId="10" borderId="11" xfId="0" applyNumberFormat="1" applyFont="1" applyFill="1" applyBorder="1" applyAlignment="1">
      <x:alignment horizontal="center" vertical="center" wrapText="1"/>
    </x:xf>
    <x:xf numFmtId="0" fontId="11" fillId="10" borderId="11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/>
    </x:xf>
    <x:xf numFmtId="0" fontId="13" fillId="11" borderId="11" xfId="0" applyNumberFormat="1" applyFont="1" applyFill="1" applyBorder="1" applyAlignment="1">
      <x:alignment horizontal="center" vertical="center" wrapText="1"/>
    </x:xf>
    <x:xf numFmtId="0" fontId="11" fillId="11" borderId="11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 applyAlignment="1">
      <x:alignment horizontal="center" vertical="center"/>
    </x:xf>
    <x:xf numFmtId="0" fontId="13" fillId="12" borderId="11" xfId="0" applyNumberFormat="1" applyFont="1" applyFill="1" applyBorder="1" applyAlignment="1">
      <x:alignment horizontal="center" vertical="center" wrapText="1"/>
    </x:xf>
    <x:xf numFmtId="0" fontId="11" fillId="12" borderId="11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horizontal="center" vertical="center"/>
    </x:xf>
    <x:xf numFmtId="0" fontId="13" fillId="13" borderId="11" xfId="0" applyNumberFormat="1" applyFont="1" applyFill="1" applyBorder="1" applyAlignment="1">
      <x:alignment horizontal="center" vertical="center" wrapText="1"/>
    </x:xf>
    <x:xf numFmtId="0" fontId="11" fillId="13" borderId="1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horizontal="center" vertical="center"/>
    </x:xf>
    <x:xf numFmtId="200" fontId="12" fillId="14" borderId="0" xfId="0" applyNumberFormat="1" applyFont="1" applyFill="1" applyBorder="1" applyAlignment="1">
      <x:alignment horizontal="center" vertical="center"/>
    </x:xf>
    <x:xf numFmtId="0" fontId="14" fillId="14" borderId="0" xfId="0" applyNumberFormat="1" applyFont="1" applyFill="1" applyBorder="1" applyAlignment="1">
      <x:alignment horizontal="center" vertic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6" fillId="14" borderId="0" xfId="0" applyNumberFormat="1" applyFont="1" applyFill="1" applyBorder="1" applyAlignment="1">
      <x:alignment horizontal="center" vertic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18" fillId="14" borderId="0" xfId="0" applyNumberFormat="1" applyFont="1" applyFill="1" applyBorder="1" applyAlignment="1">
      <x:alignment horizontal="center" vertical="center"/>
    </x:xf>
    <x:xf numFmtId="0" fontId="19" fillId="14" borderId="0" xfId="0" applyNumberFormat="1" applyFont="1" applyFill="1" applyBorder="1" applyAlignment="1">
      <x:alignment horizontal="center" vertical="center"/>
    </x:xf>
    <x:xf numFmtId="0" fontId="20" fillId="14" borderId="0" xfId="0" applyNumberFormat="1" applyFont="1" applyFill="1" applyBorder="1" applyAlignment="1">
      <x:alignment horizontal="center" vertical="center"/>
    </x:xf>
    <x:xf numFmtId="200" fontId="12" fillId="15" borderId="0" xfId="0" applyNumberFormat="1" applyFont="1" applyFill="1" applyBorder="1" applyAlignment="1">
      <x:alignment horizontal="center" vertical="center"/>
    </x:xf>
    <x:xf numFmtId="0" fontId="5" fillId="16" borderId="0" xfId="0" applyNumberFormat="1" applyFont="1" applyFill="1" applyBorder="1"/>
    <x:xf numFmtId="0" fontId="21" fillId="16" borderId="0" xfId="0" applyNumberFormat="1" applyFont="1" applyFill="1" applyBorder="1"/>
    <x:xf numFmtId="0" fontId="21" fillId="16" borderId="0" xfId="0" applyNumberFormat="1" applyFont="1" applyFill="1" applyBorder="1" applyAlignment="1">
      <x:alignment wrapText="1"/>
    </x:xf>
    <x:xf numFmtId="0" fontId="21" fillId="16" borderId="0" xfId="0" applyNumberFormat="1" applyFont="1" applyFill="1" applyBorder="1" applyAlignment="1">
      <x:alignment vertical="center" wrapText="1"/>
    </x:xf>
    <x:xf numFmtId="0" fontId="21" fillId="16" borderId="12" xfId="0" applyNumberFormat="1" applyFont="1" applyFill="1" applyBorder="1" applyAlignment="1">
      <x:alignment vertical="center" wrapText="1"/>
    </x:xf>
    <x:xf numFmtId="0" fontId="21" fillId="16" borderId="13" xfId="0" applyNumberFormat="1" applyFont="1" applyFill="1" applyBorder="1" applyAlignment="1">
      <x:alignment vertical="center" wrapText="1"/>
    </x:xf>
    <x:xf numFmtId="0" fontId="21" fillId="16" borderId="14" xfId="0" applyNumberFormat="1" applyFont="1" applyFill="1" applyBorder="1" applyAlignment="1">
      <x:alignment vertical="center" wrapText="1"/>
    </x:xf>
    <x:xf numFmtId="0" fontId="21" fillId="16" borderId="15" xfId="0" applyNumberFormat="1" applyFont="1" applyFill="1" applyBorder="1" applyAlignment="1">
      <x:alignment vertical="center" wrapText="1"/>
    </x:xf>
    <x:xf numFmtId="0" fontId="21" fillId="16" borderId="16" xfId="0" applyNumberFormat="1" applyFont="1" applyFill="1" applyBorder="1" applyAlignment="1">
      <x:alignment vertical="center" wrapText="1"/>
    </x:xf>
    <x:xf numFmtId="0" fontId="21" fillId="16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928665f7e4bc6" /><Relationship Type="http://schemas.openxmlformats.org/officeDocument/2006/relationships/theme" Target="/xl/theme/theme1.xml" Id="Re10a6fe98360415f" /><Relationship Type="http://schemas.openxmlformats.org/officeDocument/2006/relationships/sharedStrings" Target="/xl/sharedStrings.xml" Id="R8436c507847e4c17" /><Relationship Type="http://schemas.openxmlformats.org/officeDocument/2006/relationships/worksheet" Target="/xl/worksheets/sheet1.xml" Id="R5f6fff79f01848a5" /><Relationship Type="http://schemas.openxmlformats.org/officeDocument/2006/relationships/worksheet" Target="/xl/worksheets/sheet2.xml" Id="R8e885149525d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1100000143051147" hidden="0" customWidth="1"/>
    <x:col min="2" max="2" width="2.6700000762939453" hidden="0" customWidth="1"/>
    <x:col min="3" max="3" width="2.6700000762939453" hidden="0" customWidth="1"/>
    <x:col min="4" max="4" width="2.6700000762939453" hidden="0" customWidth="1"/>
    <x:col min="5" max="5" width="2.6700000762939453" hidden="0" customWidth="1"/>
    <x:col min="6" max="6" width="2.6700000762939453" hidden="0" customWidth="1"/>
    <x:col min="7" max="7" width="2.6700000762939453" hidden="0" customWidth="1"/>
    <x:col min="8" max="8" width="1.3300000429153442" hidden="0" customWidth="1"/>
    <x:col min="9" max="9" width="2.6700000762939453" hidden="0" customWidth="1"/>
    <x:col min="10" max="10" width="2.6700000762939453" hidden="0" customWidth="1"/>
    <x:col min="11" max="11" width="2.6700000762939453" hidden="0" customWidth="1"/>
    <x:col min="12" max="12" width="2.6700000762939453" hidden="0" customWidth="1"/>
    <x:col min="13" max="13" width="2.6700000762939453" hidden="0" customWidth="1"/>
    <x:col min="14" max="14" width="2.6700000762939453" hidden="0" customWidth="1"/>
    <x:col min="15" max="15" width="1.3300000429153442" hidden="0" customWidth="1"/>
    <x:col min="16" max="16" width="2.6700000762939453" hidden="0" customWidth="1"/>
    <x:col min="17" max="17" width="2.6700000762939453" hidden="0" customWidth="1"/>
    <x:col min="18" max="18" width="2.6700000762939453" hidden="0" customWidth="1"/>
    <x:col min="19" max="19" width="2.6700000762939453" hidden="0" customWidth="1"/>
    <x:col min="20" max="20" width="2.6700000762939453" hidden="0" customWidth="1"/>
    <x:col min="21" max="21" width="2.6700000762939453" hidden="0" customWidth="1"/>
    <x:col min="22" max="22" width="1.3300000429153442" hidden="0" customWidth="1"/>
    <x:col min="23" max="23" width="2.6700000762939453" hidden="0" customWidth="1"/>
    <x:col min="24" max="24" width="2.6700000762939453" hidden="0" customWidth="1"/>
    <x:col min="25" max="25" width="2.6700000762939453" hidden="0" customWidth="1"/>
    <x:col min="26" max="26" width="2.6700000762939453" hidden="0" customWidth="1"/>
    <x:col min="27" max="27" width="2.6700000762939453" hidden="0" customWidth="1"/>
    <x:col min="28" max="28" width="2.6700000762939453" hidden="0" customWidth="1"/>
    <x:col min="29" max="29" width="1.3300000429153442" hidden="0" customWidth="1"/>
    <x:col min="30" max="30" width="2.6700000762939453" hidden="0" customWidth="1"/>
    <x:col min="31" max="31" width="2.6700000762939453" hidden="0" customWidth="1"/>
    <x:col min="32" max="32" width="2.6700000762939453" hidden="0" customWidth="1"/>
    <x:col min="33" max="33" width="2.6700000762939453" hidden="0" customWidth="1"/>
    <x:col min="34" max="34" width="2.6700000762939453" hidden="0" customWidth="1"/>
    <x:col min="35" max="35" width="2.6700000762939453" hidden="0" customWidth="1"/>
    <x:col min="36" max="36" width="1.3300000429153442" hidden="0" customWidth="1"/>
    <x:col min="37" max="37" width="2.6700000762939453" hidden="0" customWidth="1"/>
    <x:col min="38" max="38" width="2.6700000762939453" hidden="0" customWidth="1"/>
    <x:col min="39" max="39" width="2.6700000762939453" hidden="0" customWidth="1"/>
    <x:col min="40" max="40" width="2.6700000762939453" hidden="0" customWidth="1"/>
    <x:col min="41" max="41" width="2.6700000762939453" hidden="0" customWidth="1"/>
    <x:col min="42" max="42" width="1.1100000143051147" hidden="0" customWidth="1"/>
  </x:cols>
  <x:sheetData>
    <x:row r="1" ht="30" customHeight="1">
      <x:c r="A1" s="9" t="str">
        <x:v>TIRI V1 前台規劃表</x:v>
      </x:c>
      <x:c r="B1" s="9" t="str">
        <x:v>TIRI V1 前台規劃表</x:v>
      </x:c>
      <x:c r="C1" s="9" t="str">
        <x:v>TIRI V1 前台規劃表</x:v>
      </x:c>
      <x:c r="D1" s="9" t="str">
        <x:v>TIRI V1 前台規劃表</x:v>
      </x:c>
      <x:c r="E1" s="9" t="str">
        <x:v>TIRI V1 前台規劃表</x:v>
      </x:c>
      <x:c r="F1" s="9" t="str">
        <x:v>TIRI V1 前台規劃表</x:v>
      </x:c>
      <x:c r="G1" s="9" t="str">
        <x:v>TIRI V1 前台規劃表</x:v>
      </x:c>
      <x:c r="H1" s="9" t="str">
        <x:v>TIRI V1 前台規劃表</x:v>
      </x:c>
      <x:c r="I1" s="9" t="str">
        <x:v>TIRI V1 前台規劃表</x:v>
      </x:c>
      <x:c r="J1" s="9" t="str">
        <x:v>TIRI V1 前台規劃表</x:v>
      </x:c>
      <x:c r="K1" s="9" t="str">
        <x:v>TIRI V1 前台規劃表</x:v>
      </x:c>
      <x:c r="L1" s="9" t="str">
        <x:v>TIRI V1 前台規劃表</x:v>
      </x:c>
      <x:c r="M1" s="9" t="str">
        <x:v>TIRI V1 前台規劃表</x:v>
      </x:c>
      <x:c r="N1" s="9" t="str">
        <x:v>TIRI V1 前台規劃表</x:v>
      </x:c>
      <x:c r="O1" s="9" t="str">
        <x:v>TIRI V1 前台規劃表</x:v>
      </x:c>
      <x:c r="P1" s="9" t="str">
        <x:v>TIRI V1 前台規劃表</x:v>
      </x:c>
      <x:c r="Q1" s="9" t="str">
        <x:v>TIRI V1 前台規劃表</x:v>
      </x:c>
      <x:c r="R1" s="9" t="str">
        <x:v>TIRI V1 前台規劃表</x:v>
      </x:c>
      <x:c r="S1" s="9" t="str">
        <x:v>TIRI V1 前台規劃表</x:v>
      </x:c>
      <x:c r="T1" s="9" t="str">
        <x:v>TIRI V1 前台規劃表</x:v>
      </x:c>
      <x:c r="U1" s="9" t="str">
        <x:v>TIRI V1 前台規劃表</x:v>
      </x:c>
      <x:c r="V1" s="9" t="str">
        <x:v>TIRI V1 前台規劃表</x:v>
      </x:c>
      <x:c r="W1" s="9" t="str">
        <x:v>TIRI V1 前台規劃表</x:v>
      </x:c>
      <x:c r="X1" s="9" t="str">
        <x:v>TIRI V1 前台規劃表</x:v>
      </x:c>
      <x:c r="Y1" s="9" t="str">
        <x:v>TIRI V1 前台規劃表</x:v>
      </x:c>
      <x:c r="Z1" s="9" t="str">
        <x:v>TIRI V1 前台規劃表</x:v>
      </x:c>
      <x:c r="AA1" s="9" t="str">
        <x:v>TIRI V1 前台規劃表</x:v>
      </x:c>
      <x:c r="AB1" s="9" t="str">
        <x:v>TIRI V1 前台規劃表</x:v>
      </x:c>
      <x:c r="AC1" s="9" t="str">
        <x:v>TIRI V1 前台規劃表</x:v>
      </x:c>
      <x:c r="AD1" s="9" t="str">
        <x:v>TIRI V1 前台規劃表</x:v>
      </x:c>
      <x:c r="AE1" s="9" t="str">
        <x:v>TIRI V1 前台規劃表</x:v>
      </x:c>
      <x:c r="AF1" s="9" t="str">
        <x:v>TIRI V1 前台規劃表</x:v>
      </x:c>
      <x:c r="AG1" s="9" t="str">
        <x:v>TIRI V1 前台規劃表</x:v>
      </x:c>
      <x:c r="AH1" s="9" t="str">
        <x:v>TIRI V1 前台規劃表</x:v>
      </x:c>
      <x:c r="AI1" s="9" t="str">
        <x:v>TIRI V1 前台規劃表</x:v>
      </x:c>
      <x:c r="AJ1" s="9" t="str">
        <x:v>TIRI V1 前台規劃表</x:v>
      </x:c>
      <x:c r="AK1" s="9" t="str">
        <x:v>TIRI V1 前台規劃表</x:v>
      </x:c>
      <x:c r="AL1" s="9" t="str">
        <x:v>TIRI V1 前台規劃表</x:v>
      </x:c>
      <x:c r="AM1" s="9" t="str">
        <x:v>TIRI V1 前台規劃表</x:v>
      </x:c>
      <x:c r="AN1" s="9" t="str">
        <x:v>TIRI V1 前台規劃表</x:v>
      </x:c>
      <x:c r="AO1" s="9" t="str">
        <x:v>TIRI V1 前台規劃表</x:v>
      </x:c>
      <x:c r="AP1" s="9" t="str">
        <x:v>TIRI V1 前台規劃表</x:v>
      </x:c>
    </x:row>
    <x:row r="2" ht="30" customHeight="1">
      <x:c r="A2" s="9" t="str">
        <x:v>TIRI V1 前台規劃表</x:v>
      </x:c>
      <x:c r="B2" s="9" t="str">
        <x:v>TIRI V1 前台規劃表</x:v>
      </x:c>
      <x:c r="C2" s="9" t="str">
        <x:v>TIRI V1 前台規劃表</x:v>
      </x:c>
      <x:c r="D2" s="9" t="str">
        <x:v>TIRI V1 前台規劃表</x:v>
      </x:c>
      <x:c r="E2" s="9" t="str">
        <x:v>TIRI V1 前台規劃表</x:v>
      </x:c>
      <x:c r="F2" s="9" t="str">
        <x:v>TIRI V1 前台規劃表</x:v>
      </x:c>
      <x:c r="G2" s="9" t="str">
        <x:v>TIRI V1 前台規劃表</x:v>
      </x:c>
      <x:c r="H2" s="9" t="str">
        <x:v>TIRI V1 前台規劃表</x:v>
      </x:c>
      <x:c r="I2" s="9" t="str">
        <x:v>TIRI V1 前台規劃表</x:v>
      </x:c>
      <x:c r="J2" s="9" t="str">
        <x:v>TIRI V1 前台規劃表</x:v>
      </x:c>
      <x:c r="K2" s="9" t="str">
        <x:v>TIRI V1 前台規劃表</x:v>
      </x:c>
      <x:c r="L2" s="9" t="str">
        <x:v>TIRI V1 前台規劃表</x:v>
      </x:c>
      <x:c r="M2" s="9" t="str">
        <x:v>TIRI V1 前台規劃表</x:v>
      </x:c>
      <x:c r="N2" s="9" t="str">
        <x:v>TIRI V1 前台規劃表</x:v>
      </x:c>
      <x:c r="O2" s="9" t="str">
        <x:v>TIRI V1 前台規劃表</x:v>
      </x:c>
      <x:c r="P2" s="9" t="str">
        <x:v>TIRI V1 前台規劃表</x:v>
      </x:c>
      <x:c r="Q2" s="9" t="str">
        <x:v>TIRI V1 前台規劃表</x:v>
      </x:c>
      <x:c r="R2" s="9" t="str">
        <x:v>TIRI V1 前台規劃表</x:v>
      </x:c>
      <x:c r="S2" s="9" t="str">
        <x:v>TIRI V1 前台規劃表</x:v>
      </x:c>
      <x:c r="T2" s="9" t="str">
        <x:v>TIRI V1 前台規劃表</x:v>
      </x:c>
      <x:c r="U2" s="9" t="str">
        <x:v>TIRI V1 前台規劃表</x:v>
      </x:c>
      <x:c r="V2" s="9" t="str">
        <x:v>TIRI V1 前台規劃表</x:v>
      </x:c>
      <x:c r="W2" s="9" t="str">
        <x:v>TIRI V1 前台規劃表</x:v>
      </x:c>
      <x:c r="X2" s="9" t="str">
        <x:v>TIRI V1 前台規劃表</x:v>
      </x:c>
      <x:c r="Y2" s="9" t="str">
        <x:v>TIRI V1 前台規劃表</x:v>
      </x:c>
      <x:c r="Z2" s="9" t="str">
        <x:v>TIRI V1 前台規劃表</x:v>
      </x:c>
      <x:c r="AA2" s="9" t="str">
        <x:v>TIRI V1 前台規劃表</x:v>
      </x:c>
      <x:c r="AB2" s="9" t="str">
        <x:v>TIRI V1 前台規劃表</x:v>
      </x:c>
      <x:c r="AC2" s="9" t="str">
        <x:v>TIRI V1 前台規劃表</x:v>
      </x:c>
      <x:c r="AD2" s="9" t="str">
        <x:v>TIRI V1 前台規劃表</x:v>
      </x:c>
      <x:c r="AE2" s="9" t="str">
        <x:v>TIRI V1 前台規劃表</x:v>
      </x:c>
      <x:c r="AF2" s="9" t="str">
        <x:v>TIRI V1 前台規劃表</x:v>
      </x:c>
      <x:c r="AG2" s="9" t="str">
        <x:v>TIRI V1 前台規劃表</x:v>
      </x:c>
      <x:c r="AH2" s="9" t="str">
        <x:v>TIRI V1 前台規劃表</x:v>
      </x:c>
      <x:c r="AI2" s="9" t="str">
        <x:v>TIRI V1 前台規劃表</x:v>
      </x:c>
      <x:c r="AJ2" s="9" t="str">
        <x:v>TIRI V1 前台規劃表</x:v>
      </x:c>
      <x:c r="AK2" s="9" t="str">
        <x:v>TIRI V1 前台規劃表</x:v>
      </x:c>
      <x:c r="AL2" s="9" t="str">
        <x:v>TIRI V1 前台規劃表</x:v>
      </x:c>
      <x:c r="AM2" s="9" t="str">
        <x:v>TIRI V1 前台規劃表</x:v>
      </x:c>
      <x:c r="AN2" s="9" t="str">
        <x:v>TIRI V1 前台規劃表</x:v>
      </x:c>
      <x:c r="AO2" s="9" t="str">
        <x:v>TIRI V1 前台規劃表</x:v>
      </x:c>
      <x:c r="AP2" s="9" t="str">
        <x:v>TIRI V1 前台規劃表</x:v>
      </x:c>
    </x:row>
    <x:row r="3" ht="18" customHeight="1">
      <x:c r="A3" s="10" t="str">
        <x:v>中文與英文使用相同網站架構及頁面模板</x:v>
      </x:c>
      <x:c r="B3" s="10" t="str">
        <x:v>中文與英文使用相同網站架構及頁面模板</x:v>
      </x:c>
      <x:c r="C3" s="10" t="str">
        <x:v>中文與英文使用相同網站架構及頁面模板</x:v>
      </x:c>
      <x:c r="D3" s="10" t="str">
        <x:v>中文與英文使用相同網站架構及頁面模板</x:v>
      </x:c>
      <x:c r="E3" s="10" t="str">
        <x:v>中文與英文使用相同網站架構及頁面模板</x:v>
      </x:c>
      <x:c r="F3" s="10" t="str">
        <x:v>中文與英文使用相同網站架構及頁面模板</x:v>
      </x:c>
      <x:c r="G3" s="10" t="str">
        <x:v>中文與英文使用相同網站架構及頁面模板</x:v>
      </x:c>
      <x:c r="H3" s="10" t="str">
        <x:v>中文與英文使用相同網站架構及頁面模板</x:v>
      </x:c>
      <x:c r="I3" s="10" t="str">
        <x:v>中文與英文使用相同網站架構及頁面模板</x:v>
      </x:c>
      <x:c r="J3" s="10" t="str">
        <x:v>中文與英文使用相同網站架構及頁面模板</x:v>
      </x:c>
      <x:c r="K3" s="10" t="str">
        <x:v>中文與英文使用相同網站架構及頁面模板</x:v>
      </x:c>
      <x:c r="L3" s="10" t="str">
        <x:v>中文與英文使用相同網站架構及頁面模板</x:v>
      </x:c>
      <x:c r="M3" s="10" t="str">
        <x:v>中文與英文使用相同網站架構及頁面模板</x:v>
      </x:c>
      <x:c r="N3" s="10" t="str">
        <x:v>中文與英文使用相同網站架構及頁面模板</x:v>
      </x:c>
      <x:c r="O3" s="10" t="str">
        <x:v>中文與英文使用相同網站架構及頁面模板</x:v>
      </x:c>
      <x:c r="P3" s="10" t="str">
        <x:v>中文與英文使用相同網站架構及頁面模板</x:v>
      </x:c>
      <x:c r="Q3" s="10" t="str">
        <x:v>中文與英文使用相同網站架構及頁面模板</x:v>
      </x:c>
      <x:c r="R3" s="10" t="str">
        <x:v>中文與英文使用相同網站架構及頁面模板</x:v>
      </x:c>
      <x:c r="S3" s="10" t="str">
        <x:v>中文與英文使用相同網站架構及頁面模板</x:v>
      </x:c>
      <x:c r="T3" s="10" t="str">
        <x:v>中文與英文使用相同網站架構及頁面模板</x:v>
      </x:c>
      <x:c r="U3" s="10" t="str">
        <x:v>中文與英文使用相同網站架構及頁面模板</x:v>
      </x:c>
      <x:c r="V3" s="10" t="str">
        <x:v>中文與英文使用相同網站架構及頁面模板</x:v>
      </x:c>
      <x:c r="W3" s="10" t="str">
        <x:v>中文與英文使用相同網站架構及頁面模板</x:v>
      </x:c>
      <x:c r="X3" s="10" t="str">
        <x:v>中文與英文使用相同網站架構及頁面模板</x:v>
      </x:c>
      <x:c r="Y3" s="10" t="str">
        <x:v>中文與英文使用相同網站架構及頁面模板</x:v>
      </x:c>
      <x:c r="Z3" s="10" t="str">
        <x:v>中文與英文使用相同網站架構及頁面模板</x:v>
      </x:c>
      <x:c r="AA3" s="10" t="str">
        <x:v>中文與英文使用相同網站架構及頁面模板</x:v>
      </x:c>
      <x:c r="AB3" s="10" t="str">
        <x:v>中文與英文使用相同網站架構及頁面模板</x:v>
      </x:c>
      <x:c r="AC3" s="10" t="str">
        <x:v>中文與英文使用相同網站架構及頁面模板</x:v>
      </x:c>
      <x:c r="AD3" s="10" t="str">
        <x:v>中文與英文使用相同網站架構及頁面模板</x:v>
      </x:c>
      <x:c r="AE3" s="10" t="str">
        <x:v>中文與英文使用相同網站架構及頁面模板</x:v>
      </x:c>
      <x:c r="AF3" s="10" t="str">
        <x:v>中文與英文使用相同網站架構及頁面模板</x:v>
      </x:c>
      <x:c r="AG3" s="10" t="str">
        <x:v>中文與英文使用相同網站架構及頁面模板</x:v>
      </x:c>
      <x:c r="AH3" s="10" t="str">
        <x:v>中文與英文使用相同網站架構及頁面模板</x:v>
      </x:c>
      <x:c r="AI3" s="10" t="str">
        <x:v>中文與英文使用相同網站架構及頁面模板</x:v>
      </x:c>
      <x:c r="AJ3" s="10" t="str">
        <x:v>中文與英文使用相同網站架構及頁面模板</x:v>
      </x:c>
      <x:c r="AK3" s="10" t="str">
        <x:v>中文與英文使用相同網站架構及頁面模板</x:v>
      </x:c>
      <x:c r="AL3" s="10" t="str">
        <x:v>中文與英文使用相同網站架構及頁面模板</x:v>
      </x:c>
      <x:c r="AM3" s="10" t="str">
        <x:v>中文與英文使用相同網站架構及頁面模板</x:v>
      </x:c>
      <x:c r="AN3" s="10" t="str">
        <x:v>中文與英文使用相同網站架構及頁面模板</x:v>
      </x:c>
      <x:c r="AO3" s="10" t="str">
        <x:v>中文與英文使用相同網站架構及頁面模板</x:v>
      </x:c>
      <x:c r="AP3" s="10" t="str">
        <x:v>中文與英文使用相同網站架構及頁面模板</x:v>
      </x:c>
    </x:row>
    <x:row r="4" ht="25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7" t="str">
        <x:v>首頁
Home</x:v>
      </x:c>
      <x:c r="R4" s="18" t="str">
        <x:v>首頁
Home</x:v>
      </x:c>
      <x:c r="S4" s="18" t="str">
        <x:v>首頁
Home</x:v>
      </x:c>
      <x:c r="T4" s="18" t="str">
        <x:v>首頁
Home</x:v>
      </x:c>
      <x:c r="U4" s="18" t="str">
        <x:v>首頁
Home</x:v>
      </x:c>
      <x:c r="V4" s="18" t="str">
        <x:v>首頁
Home</x:v>
      </x:c>
      <x:c r="W4" s="18" t="str">
        <x:v>首頁
Home</x:v>
      </x:c>
      <x:c r="X4" s="18" t="str">
        <x:v>首頁
Home</x:v>
      </x:c>
      <x:c r="Y4" s="18" t="str">
        <x:v>首頁
Home</x:v>
      </x:c>
      <x:c r="Z4" s="18" t="str">
        <x:v>首頁
Home</x:v>
      </x:c>
      <x:c r="AA4" s="19" t="str">
        <x:v>首頁
Home</x:v>
      </x:c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20" t="str">
        <x:v>首頁
Home</x:v>
      </x:c>
      <x:c r="R5" s="21" t="str">
        <x:v>首頁
Home</x:v>
      </x:c>
      <x:c r="S5" s="21" t="str">
        <x:v>首頁
Home</x:v>
      </x:c>
      <x:c r="T5" s="21" t="str">
        <x:v>首頁
Home</x:v>
      </x:c>
      <x:c r="U5" s="21" t="str">
        <x:v>首頁
Home</x:v>
      </x:c>
      <x:c r="V5" s="21" t="str">
        <x:v>首頁
Home</x:v>
      </x:c>
      <x:c r="W5" s="21" t="str">
        <x:v>首頁
Home</x:v>
      </x:c>
      <x:c r="X5" s="21" t="str">
        <x:v>首頁
Home</x:v>
      </x:c>
      <x:c r="Y5" s="21" t="str">
        <x:v>首頁
Home</x:v>
      </x:c>
      <x:c r="Z5" s="21" t="str">
        <x:v>首頁
Home</x:v>
      </x:c>
      <x:c r="AA5" s="22" t="str">
        <x:v>首頁
Home</x:v>
      </x:c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</x:row>
    <x:row r="6">
      <x:c r="A6" s="24" t="str">
        <x:v>↓ 主選單與頁面層級</x:v>
      </x:c>
      <x:c r="B6" s="24" t="str">
        <x:v>↓ 主選單與頁面層級</x:v>
      </x:c>
      <x:c r="C6" s="24" t="str">
        <x:v>↓ 主選單與頁面層級</x:v>
      </x:c>
      <x:c r="D6" s="24" t="str">
        <x:v>↓ 主選單與頁面層級</x:v>
      </x:c>
      <x:c r="E6" s="24" t="str">
        <x:v>↓ 主選單與頁面層級</x:v>
      </x:c>
      <x:c r="F6" s="24" t="str">
        <x:v>↓ 主選單與頁面層級</x:v>
      </x:c>
      <x:c r="G6" s="24" t="str">
        <x:v>↓ 主選單與頁面層級</x:v>
      </x:c>
      <x:c r="H6" s="24" t="str">
        <x:v>↓ 主選單與頁面層級</x:v>
      </x:c>
      <x:c r="I6" s="24" t="str">
        <x:v>↓ 主選單與頁面層級</x:v>
      </x:c>
      <x:c r="J6" s="24" t="str">
        <x:v>↓ 主選單與頁面層級</x:v>
      </x:c>
      <x:c r="K6" s="24" t="str">
        <x:v>↓ 主選單與頁面層級</x:v>
      </x:c>
      <x:c r="L6" s="24" t="str">
        <x:v>↓ 主選單與頁面層級</x:v>
      </x:c>
      <x:c r="M6" s="24" t="str">
        <x:v>↓ 主選單與頁面層級</x:v>
      </x:c>
      <x:c r="N6" s="24" t="str">
        <x:v>↓ 主選單與頁面層級</x:v>
      </x:c>
      <x:c r="O6" s="24" t="str">
        <x:v>↓ 主選單與頁面層級</x:v>
      </x:c>
      <x:c r="P6" s="24" t="str">
        <x:v>↓ 主選單與頁面層級</x:v>
      </x:c>
      <x:c r="Q6" s="24" t="str">
        <x:v>↓ 主選單與頁面層級</x:v>
      </x:c>
      <x:c r="R6" s="24" t="str">
        <x:v>↓ 主選單與頁面層級</x:v>
      </x:c>
      <x:c r="S6" s="24" t="str">
        <x:v>↓ 主選單與頁面層級</x:v>
      </x:c>
      <x:c r="T6" s="24" t="str">
        <x:v>↓ 主選單與頁面層級</x:v>
      </x:c>
      <x:c r="U6" s="24" t="str">
        <x:v>↓ 主選單與頁面層級</x:v>
      </x:c>
      <x:c r="V6" s="24" t="str">
        <x:v>↓ 主選單與頁面層級</x:v>
      </x:c>
      <x:c r="W6" s="24" t="str">
        <x:v>↓ 主選單與頁面層級</x:v>
      </x:c>
      <x:c r="X6" s="24" t="str">
        <x:v>↓ 主選單與頁面層級</x:v>
      </x:c>
      <x:c r="Y6" s="24" t="str">
        <x:v>↓ 主選單與頁面層級</x:v>
      </x:c>
      <x:c r="Z6" s="24" t="str">
        <x:v>↓ 主選單與頁面層級</x:v>
      </x:c>
      <x:c r="AA6" s="24" t="str">
        <x:v>↓ 主選單與頁面層級</x:v>
      </x:c>
      <x:c r="AB6" s="24" t="str">
        <x:v>↓ 主選單與頁面層級</x:v>
      </x:c>
      <x:c r="AC6" s="24" t="str">
        <x:v>↓ 主選單與頁面層級</x:v>
      </x:c>
      <x:c r="AD6" s="24" t="str">
        <x:v>↓ 主選單與頁面層級</x:v>
      </x:c>
      <x:c r="AE6" s="24" t="str">
        <x:v>↓ 主選單與頁面層級</x:v>
      </x:c>
      <x:c r="AF6" s="24" t="str">
        <x:v>↓ 主選單與頁面層級</x:v>
      </x:c>
      <x:c r="AG6" s="24" t="str">
        <x:v>↓ 主選單與頁面層級</x:v>
      </x:c>
      <x:c r="AH6" s="24" t="str">
        <x:v>↓ 主選單與頁面層級</x:v>
      </x:c>
      <x:c r="AI6" s="24" t="str">
        <x:v>↓ 主選單與頁面層級</x:v>
      </x:c>
      <x:c r="AJ6" s="24" t="str">
        <x:v>↓ 主選單與頁面層級</x:v>
      </x:c>
      <x:c r="AK6" s="24" t="str">
        <x:v>↓ 主選單與頁面層級</x:v>
      </x:c>
      <x:c r="AL6" s="24" t="str">
        <x:v>↓ 主選單與頁面層級</x:v>
      </x:c>
      <x:c r="AM6" s="24" t="str">
        <x:v>↓ 主選單與頁面層級</x:v>
      </x:c>
      <x:c r="AN6" s="24" t="str">
        <x:v>↓ 主選單與頁面層級</x:v>
      </x:c>
      <x:c r="AO6" s="24" t="str">
        <x:v>↓ 主選單與頁面層級</x:v>
      </x:c>
      <x:c r="AP6" s="24" t="str">
        <x:v>↓ 主選單與頁面層級</x:v>
      </x:c>
    </x:row>
    <x:row r="7" ht="25.5" customHeight="1">
      <x:c r="A7" s="11"/>
      <x:c r="B7" s="30" t="str">
        <x:v>關於 TIRI</x:v>
      </x:c>
      <x:c r="C7" s="31" t="str">
        <x:v>關於 TIRI</x:v>
      </x:c>
      <x:c r="D7" s="31" t="str">
        <x:v>關於 TIRI</x:v>
      </x:c>
      <x:c r="E7" s="31" t="str">
        <x:v>關於 TIRI</x:v>
      </x:c>
      <x:c r="F7" s="31" t="str">
        <x:v>關於 TIRI</x:v>
      </x:c>
      <x:c r="G7" s="32" t="str">
        <x:v>關於 TIRI</x:v>
      </x:c>
      <x:c r="H7" s="11"/>
      <x:c r="I7" s="30" t="str">
        <x:v>活動課程</x:v>
      </x:c>
      <x:c r="J7" s="31" t="str">
        <x:v>活動課程</x:v>
      </x:c>
      <x:c r="K7" s="31" t="str">
        <x:v>活動課程</x:v>
      </x:c>
      <x:c r="L7" s="31" t="str">
        <x:v>活動課程</x:v>
      </x:c>
      <x:c r="M7" s="31" t="str">
        <x:v>活動課程</x:v>
      </x:c>
      <x:c r="N7" s="32" t="str">
        <x:v>活動課程</x:v>
      </x:c>
      <x:c r="O7" s="11"/>
      <x:c r="P7" s="30" t="str">
        <x:v>知識資源</x:v>
      </x:c>
      <x:c r="Q7" s="31" t="str">
        <x:v>知識資源</x:v>
      </x:c>
      <x:c r="R7" s="31" t="str">
        <x:v>知識資源</x:v>
      </x:c>
      <x:c r="S7" s="31" t="str">
        <x:v>知識資源</x:v>
      </x:c>
      <x:c r="T7" s="31" t="str">
        <x:v>知識資源</x:v>
      </x:c>
      <x:c r="U7" s="32" t="str">
        <x:v>知識資源</x:v>
      </x:c>
      <x:c r="V7" s="11"/>
      <x:c r="W7" s="30" t="str">
        <x:v>會員服務</x:v>
      </x:c>
      <x:c r="X7" s="31" t="str">
        <x:v>會員服務</x:v>
      </x:c>
      <x:c r="Y7" s="31" t="str">
        <x:v>會員服務</x:v>
      </x:c>
      <x:c r="Z7" s="31" t="str">
        <x:v>會員服務</x:v>
      </x:c>
      <x:c r="AA7" s="31" t="str">
        <x:v>會員服務</x:v>
      </x:c>
      <x:c r="AB7" s="32" t="str">
        <x:v>會員服務</x:v>
      </x:c>
      <x:c r="AC7" s="11"/>
      <x:c r="AD7" s="30" t="str">
        <x:v>最新消息</x:v>
      </x:c>
      <x:c r="AE7" s="31" t="str">
        <x:v>最新消息</x:v>
      </x:c>
      <x:c r="AF7" s="31" t="str">
        <x:v>最新消息</x:v>
      </x:c>
      <x:c r="AG7" s="31" t="str">
        <x:v>最新消息</x:v>
      </x:c>
      <x:c r="AH7" s="31" t="str">
        <x:v>最新消息</x:v>
      </x:c>
      <x:c r="AI7" s="32" t="str">
        <x:v>最新消息</x:v>
      </x:c>
      <x:c r="AJ7" s="11"/>
      <x:c r="AK7" s="30" t="str">
        <x:v>合作夥伴</x:v>
      </x:c>
      <x:c r="AL7" s="31" t="str">
        <x:v>合作夥伴</x:v>
      </x:c>
      <x:c r="AM7" s="31" t="str">
        <x:v>合作夥伴</x:v>
      </x:c>
      <x:c r="AN7" s="31" t="str">
        <x:v>合作夥伴</x:v>
      </x:c>
      <x:c r="AO7" s="31" t="str">
        <x:v>合作夥伴</x:v>
      </x:c>
      <x:c r="AP7" s="32" t="str">
        <x:v>合作夥伴</x:v>
      </x:c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</x:row>
    <x:row r="9" ht="25.5" customHeight="1">
      <x:c r="A9" s="11"/>
      <x:c r="B9" s="38" t="str">
        <x:v>協會</x:v>
      </x:c>
      <x:c r="C9" s="39" t="str">
        <x:v>協會</x:v>
      </x:c>
      <x:c r="D9" s="39" t="str">
        <x:v>協會</x:v>
      </x:c>
      <x:c r="E9" s="39" t="str">
        <x:v>協會</x:v>
      </x:c>
      <x:c r="F9" s="39" t="str">
        <x:v>協會</x:v>
      </x:c>
      <x:c r="G9" s="40" t="str">
        <x:v>協會</x:v>
      </x:c>
      <x:c r="H9" s="11"/>
      <x:c r="I9" s="38" t="str">
        <x:v>活動與獎項</x:v>
      </x:c>
      <x:c r="J9" s="39" t="str">
        <x:v>活動與獎項</x:v>
      </x:c>
      <x:c r="K9" s="39" t="str">
        <x:v>活動與獎項</x:v>
      </x:c>
      <x:c r="L9" s="39" t="str">
        <x:v>活動與獎項</x:v>
      </x:c>
      <x:c r="M9" s="39" t="str">
        <x:v>活動與獎項</x:v>
      </x:c>
      <x:c r="N9" s="40" t="str">
        <x:v>活動與獎項</x:v>
      </x:c>
      <x:c r="O9" s="11"/>
      <x:c r="P9" s="38" t="str">
        <x:v>刊物與專欄</x:v>
      </x:c>
      <x:c r="Q9" s="39" t="str">
        <x:v>刊物與專欄</x:v>
      </x:c>
      <x:c r="R9" s="39" t="str">
        <x:v>刊物與專欄</x:v>
      </x:c>
      <x:c r="S9" s="39" t="str">
        <x:v>刊物與專欄</x:v>
      </x:c>
      <x:c r="T9" s="39" t="str">
        <x:v>刊物與專欄</x:v>
      </x:c>
      <x:c r="U9" s="40" t="str">
        <x:v>刊物與專欄</x:v>
      </x:c>
      <x:c r="V9" s="11"/>
      <x:c r="W9" s="38" t="str">
        <x:v>會員</x:v>
      </x:c>
      <x:c r="X9" s="39" t="str">
        <x:v>會員</x:v>
      </x:c>
      <x:c r="Y9" s="39" t="str">
        <x:v>會員</x:v>
      </x:c>
      <x:c r="Z9" s="39" t="str">
        <x:v>會員</x:v>
      </x:c>
      <x:c r="AA9" s="39" t="str">
        <x:v>會員</x:v>
      </x:c>
      <x:c r="AB9" s="40" t="str">
        <x:v>會員</x:v>
      </x:c>
      <x:c r="AC9" s="11"/>
      <x:c r="AD9" s="38" t="str">
        <x:v>消息</x:v>
      </x:c>
      <x:c r="AE9" s="39" t="str">
        <x:v>消息</x:v>
      </x:c>
      <x:c r="AF9" s="39" t="str">
        <x:v>消息</x:v>
      </x:c>
      <x:c r="AG9" s="39" t="str">
        <x:v>消息</x:v>
      </x:c>
      <x:c r="AH9" s="39" t="str">
        <x:v>消息</x:v>
      </x:c>
      <x:c r="AI9" s="40" t="str">
        <x:v>消息</x:v>
      </x:c>
      <x:c r="AJ9" s="11"/>
      <x:c r="AK9" s="38" t="str">
        <x:v>夥伴與贊助</x:v>
      </x:c>
      <x:c r="AL9" s="39" t="str">
        <x:v>夥伴與贊助</x:v>
      </x:c>
      <x:c r="AM9" s="39" t="str">
        <x:v>夥伴與贊助</x:v>
      </x:c>
      <x:c r="AN9" s="39" t="str">
        <x:v>夥伴與贊助</x:v>
      </x:c>
      <x:c r="AO9" s="39" t="str">
        <x:v>夥伴與贊助</x:v>
      </x:c>
      <x:c r="AP9" s="40" t="str">
        <x:v>夥伴與贊助</x:v>
      </x:c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</x:row>
    <x:row r="11" ht="28.5" customHeight="1">
      <x:c r="A11" s="11"/>
      <x:c r="B11" s="46" t="str">
        <x:v>協會使命／創會緣起</x:v>
      </x:c>
      <x:c r="C11" s="47" t="str">
        <x:v>協會使命／創會緣起</x:v>
      </x:c>
      <x:c r="D11" s="47" t="str">
        <x:v>協會使命／創會緣起</x:v>
      </x:c>
      <x:c r="E11" s="47" t="str">
        <x:v>協會使命／創會緣起</x:v>
      </x:c>
      <x:c r="F11" s="47" t="str">
        <x:v>協會使命／創會緣起</x:v>
      </x:c>
      <x:c r="G11" s="48" t="str">
        <x:v>協會使命／創會緣起</x:v>
      </x:c>
      <x:c r="H11" s="11"/>
      <x:c r="I11" s="46" t="str">
        <x:v>焦點與近期課程</x:v>
      </x:c>
      <x:c r="J11" s="47" t="str">
        <x:v>焦點與近期課程</x:v>
      </x:c>
      <x:c r="K11" s="47" t="str">
        <x:v>焦點與近期課程</x:v>
      </x:c>
      <x:c r="L11" s="47" t="str">
        <x:v>焦點與近期課程</x:v>
      </x:c>
      <x:c r="M11" s="47" t="str">
        <x:v>焦點與近期課程</x:v>
      </x:c>
      <x:c r="N11" s="48" t="str">
        <x:v>焦點與近期課程</x:v>
      </x:c>
      <x:c r="O11" s="11"/>
      <x:c r="P11" s="46" t="str">
        <x:v>知識總覽</x:v>
      </x:c>
      <x:c r="Q11" s="47" t="str">
        <x:v>知識總覽</x:v>
      </x:c>
      <x:c r="R11" s="47" t="str">
        <x:v>知識總覽</x:v>
      </x:c>
      <x:c r="S11" s="47" t="str">
        <x:v>知識總覽</x:v>
      </x:c>
      <x:c r="T11" s="47" t="str">
        <x:v>知識總覽</x:v>
      </x:c>
      <x:c r="U11" s="48" t="str">
        <x:v>知識總覽</x:v>
      </x:c>
      <x:c r="V11" s="11"/>
      <x:c r="W11" s="46" t="str">
        <x:v>會員類別與會費</x:v>
      </x:c>
      <x:c r="X11" s="47" t="str">
        <x:v>會員類別與會費</x:v>
      </x:c>
      <x:c r="Y11" s="47" t="str">
        <x:v>會員類別與會費</x:v>
      </x:c>
      <x:c r="Z11" s="47" t="str">
        <x:v>會員類別與會費</x:v>
      </x:c>
      <x:c r="AA11" s="47" t="str">
        <x:v>會員類別與會費</x:v>
      </x:c>
      <x:c r="AB11" s="48" t="str">
        <x:v>會員類別與會費</x:v>
      </x:c>
      <x:c r="AC11" s="11"/>
      <x:c r="AD11" s="46" t="str">
        <x:v>協會消息</x:v>
      </x:c>
      <x:c r="AE11" s="47" t="str">
        <x:v>協會消息</x:v>
      </x:c>
      <x:c r="AF11" s="47" t="str">
        <x:v>協會消息</x:v>
      </x:c>
      <x:c r="AG11" s="47" t="str">
        <x:v>協會消息</x:v>
      </x:c>
      <x:c r="AH11" s="47" t="str">
        <x:v>協會消息</x:v>
      </x:c>
      <x:c r="AI11" s="48" t="str">
        <x:v>協會消息</x:v>
      </x:c>
      <x:c r="AJ11" s="11"/>
      <x:c r="AK11" s="46" t="str">
        <x:v>合作夥伴總覽</x:v>
      </x:c>
      <x:c r="AL11" s="47" t="str">
        <x:v>合作夥伴總覽</x:v>
      </x:c>
      <x:c r="AM11" s="47" t="str">
        <x:v>合作夥伴總覽</x:v>
      </x:c>
      <x:c r="AN11" s="47" t="str">
        <x:v>合作夥伴總覽</x:v>
      </x:c>
      <x:c r="AO11" s="47" t="str">
        <x:v>合作夥伴總覽</x:v>
      </x:c>
      <x:c r="AP11" s="48" t="str">
        <x:v>合作夥伴總覽</x:v>
      </x:c>
    </x:row>
    <x:row r="12" ht="28.5" customHeight="1">
      <x:c r="A12" s="11"/>
      <x:c r="B12" s="46" t="str">
        <x:v>第三屆理監事</x:v>
      </x:c>
      <x:c r="C12" s="47" t="str">
        <x:v>第三屆理監事</x:v>
      </x:c>
      <x:c r="D12" s="47" t="str">
        <x:v>第三屆理監事</x:v>
      </x:c>
      <x:c r="E12" s="47" t="str">
        <x:v>第三屆理監事</x:v>
      </x:c>
      <x:c r="F12" s="47" t="str">
        <x:v>第三屆理監事</x:v>
      </x:c>
      <x:c r="G12" s="48" t="str">
        <x:v>第三屆理監事</x:v>
      </x:c>
      <x:c r="H12" s="11"/>
      <x:c r="I12" s="46" t="str">
        <x:v>精彩回顧</x:v>
      </x:c>
      <x:c r="J12" s="47" t="str">
        <x:v>精彩回顧</x:v>
      </x:c>
      <x:c r="K12" s="47" t="str">
        <x:v>精彩回顧</x:v>
      </x:c>
      <x:c r="L12" s="47" t="str">
        <x:v>精彩回顧</x:v>
      </x:c>
      <x:c r="M12" s="47" t="str">
        <x:v>精彩回顧</x:v>
      </x:c>
      <x:c r="N12" s="48" t="str">
        <x:v>精彩回顧</x:v>
      </x:c>
      <x:c r="O12" s="11"/>
      <x:c r="P12" s="46" t="str">
        <x:v>證券雙月刊專欄</x:v>
      </x:c>
      <x:c r="Q12" s="47" t="str">
        <x:v>證券雙月刊專欄</x:v>
      </x:c>
      <x:c r="R12" s="47" t="str">
        <x:v>證券雙月刊專欄</x:v>
      </x:c>
      <x:c r="S12" s="47" t="str">
        <x:v>證券雙月刊專欄</x:v>
      </x:c>
      <x:c r="T12" s="47" t="str">
        <x:v>證券雙月刊專欄</x:v>
      </x:c>
      <x:c r="U12" s="48" t="str">
        <x:v>證券雙月刊專欄</x:v>
      </x:c>
      <x:c r="V12" s="11"/>
      <x:c r="W12" s="46" t="str">
        <x:v>會員專屬優惠</x:v>
      </x:c>
      <x:c r="X12" s="47" t="str">
        <x:v>會員專屬優惠</x:v>
      </x:c>
      <x:c r="Y12" s="47" t="str">
        <x:v>會員專屬優惠</x:v>
      </x:c>
      <x:c r="Z12" s="47" t="str">
        <x:v>會員專屬優惠</x:v>
      </x:c>
      <x:c r="AA12" s="47" t="str">
        <x:v>會員專屬優惠</x:v>
      </x:c>
      <x:c r="AB12" s="48" t="str">
        <x:v>會員專屬優惠</x:v>
      </x:c>
      <x:c r="AC12" s="11"/>
      <x:c r="AD12" s="46" t="str">
        <x:v>精彩回顧</x:v>
      </x:c>
      <x:c r="AE12" s="47" t="str">
        <x:v>精彩回顧</x:v>
      </x:c>
      <x:c r="AF12" s="47" t="str">
        <x:v>精彩回顧</x:v>
      </x:c>
      <x:c r="AG12" s="47" t="str">
        <x:v>精彩回顧</x:v>
      </x:c>
      <x:c r="AH12" s="47" t="str">
        <x:v>精彩回顧</x:v>
      </x:c>
      <x:c r="AI12" s="48" t="str">
        <x:v>精彩回顧</x:v>
      </x:c>
      <x:c r="AJ12" s="11"/>
      <x:c r="AK12" s="46" t="str">
        <x:v>贊助方案</x:v>
      </x:c>
      <x:c r="AL12" s="47" t="str">
        <x:v>贊助方案</x:v>
      </x:c>
      <x:c r="AM12" s="47" t="str">
        <x:v>贊助方案</x:v>
      </x:c>
      <x:c r="AN12" s="47" t="str">
        <x:v>贊助方案</x:v>
      </x:c>
      <x:c r="AO12" s="47" t="str">
        <x:v>贊助方案</x:v>
      </x:c>
      <x:c r="AP12" s="48" t="str">
        <x:v>贊助方案</x:v>
      </x:c>
    </x:row>
    <x:row r="13" ht="28.5" customHeight="1">
      <x:c r="A13" s="11"/>
      <x:c r="B13" s="46" t="str">
        <x:v>歷屆理監事</x:v>
      </x:c>
      <x:c r="C13" s="47" t="str">
        <x:v>歷屆理監事</x:v>
      </x:c>
      <x:c r="D13" s="47" t="str">
        <x:v>歷屆理監事</x:v>
      </x:c>
      <x:c r="E13" s="47" t="str">
        <x:v>歷屆理監事</x:v>
      </x:c>
      <x:c r="F13" s="47" t="str">
        <x:v>歷屆理監事</x:v>
      </x:c>
      <x:c r="G13" s="48" t="str">
        <x:v>歷屆理監事</x:v>
      </x:c>
      <x:c r="H13" s="11"/>
      <x:c r="I13" s="46" t="str">
        <x:v>TIRI Awards</x:v>
      </x:c>
      <x:c r="J13" s="47" t="str">
        <x:v>TIRI Awards</x:v>
      </x:c>
      <x:c r="K13" s="47" t="str">
        <x:v>TIRI Awards</x:v>
      </x:c>
      <x:c r="L13" s="47" t="str">
        <x:v>TIRI Awards</x:v>
      </x:c>
      <x:c r="M13" s="47" t="str">
        <x:v>TIRI Awards</x:v>
      </x:c>
      <x:c r="N13" s="48" t="str">
        <x:v>TIRI Awards</x:v>
      </x:c>
      <x:c r="O13" s="11"/>
      <x:c r="P13" s="46" t="str">
        <x:v>TIRI 年刊</x:v>
      </x:c>
      <x:c r="Q13" s="47" t="str">
        <x:v>TIRI 年刊</x:v>
      </x:c>
      <x:c r="R13" s="47" t="str">
        <x:v>TIRI 年刊</x:v>
      </x:c>
      <x:c r="S13" s="47" t="str">
        <x:v>TIRI 年刊</x:v>
      </x:c>
      <x:c r="T13" s="47" t="str">
        <x:v>TIRI 年刊</x:v>
      </x:c>
      <x:c r="U13" s="48" t="str">
        <x:v>TIRI 年刊</x:v>
      </x:c>
      <x:c r="V13" s="11"/>
      <x:c r="W13" s="46" t="str">
        <x:v>加入會員</x:v>
      </x:c>
      <x:c r="X13" s="47" t="str">
        <x:v>加入會員</x:v>
      </x:c>
      <x:c r="Y13" s="47" t="str">
        <x:v>加入會員</x:v>
      </x:c>
      <x:c r="Z13" s="47" t="str">
        <x:v>加入會員</x:v>
      </x:c>
      <x:c r="AA13" s="47" t="str">
        <x:v>加入會員</x:v>
      </x:c>
      <x:c r="AB13" s="48" t="str">
        <x:v>加入會員</x:v>
      </x:c>
      <x:c r="AC13" s="11"/>
      <x:c r="AD13" s="11"/>
      <x:c r="AE13" s="11"/>
      <x:c r="AF13" s="11"/>
      <x:c r="AG13" s="11"/>
      <x:c r="AH13" s="11"/>
      <x:c r="AI13" s="11"/>
      <x:c r="AJ13" s="11"/>
      <x:c r="AK13" s="46" t="str">
        <x:v>聯絡我們</x:v>
      </x:c>
      <x:c r="AL13" s="47" t="str">
        <x:v>聯絡我們</x:v>
      </x:c>
      <x:c r="AM13" s="47" t="str">
        <x:v>聯絡我們</x:v>
      </x:c>
      <x:c r="AN13" s="47" t="str">
        <x:v>聯絡我們</x:v>
      </x:c>
      <x:c r="AO13" s="47" t="str">
        <x:v>聯絡我們</x:v>
      </x:c>
      <x:c r="AP13" s="48" t="str">
        <x:v>聯絡我們</x:v>
      </x:c>
    </x:row>
    <x:row r="14" ht="28.5" customHeight="1">
      <x:c r="A14" s="11"/>
      <x:c r="B14" s="46" t="str">
        <x:v>功能委員會</x:v>
      </x:c>
      <x:c r="C14" s="47" t="str">
        <x:v>功能委員會</x:v>
      </x:c>
      <x:c r="D14" s="47" t="str">
        <x:v>功能委員會</x:v>
      </x:c>
      <x:c r="E14" s="47" t="str">
        <x:v>功能委員會</x:v>
      </x:c>
      <x:c r="F14" s="47" t="str">
        <x:v>功能委員會</x:v>
      </x:c>
      <x:c r="G14" s="48" t="str">
        <x:v>功能委員會</x:v>
      </x:c>
      <x:c r="H14" s="11"/>
      <x:c r="I14" s="46" t="str">
        <x:v>TIRI 潛力進展獎</x:v>
      </x:c>
      <x:c r="J14" s="47" t="str">
        <x:v>TIRI 潛力進展獎</x:v>
      </x:c>
      <x:c r="K14" s="47" t="str">
        <x:v>TIRI 潛力進展獎</x:v>
      </x:c>
      <x:c r="L14" s="47" t="str">
        <x:v>TIRI 潛力進展獎</x:v>
      </x:c>
      <x:c r="M14" s="47" t="str">
        <x:v>TIRI 潛力進展獎</x:v>
      </x:c>
      <x:c r="N14" s="48" t="str">
        <x:v>TIRI 潛力進展獎</x:v>
      </x:c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</x:row>
    <x:row r="16" ht="25.5" customHeight="1">
      <x:c r="A16" s="11"/>
      <x:c r="B16" s="38" t="str">
        <x:v>服務與認證</x:v>
      </x:c>
      <x:c r="C16" s="39" t="str">
        <x:v>服務與認證</x:v>
      </x:c>
      <x:c r="D16" s="39" t="str">
        <x:v>服務與認證</x:v>
      </x:c>
      <x:c r="E16" s="39" t="str">
        <x:v>服務與認證</x:v>
      </x:c>
      <x:c r="F16" s="39" t="str">
        <x:v>服務與認證</x:v>
      </x:c>
      <x:c r="G16" s="40" t="str">
        <x:v>服務與認證</x:v>
      </x:c>
      <x:c r="H16" s="11"/>
      <x:c r="I16" s="38" t="str">
        <x:v>專業課程與證照</x:v>
      </x:c>
      <x:c r="J16" s="39" t="str">
        <x:v>專業課程與證照</x:v>
      </x:c>
      <x:c r="K16" s="39" t="str">
        <x:v>專業課程與證照</x:v>
      </x:c>
      <x:c r="L16" s="39" t="str">
        <x:v>專業課程與證照</x:v>
      </x:c>
      <x:c r="M16" s="39" t="str">
        <x:v>專業課程與證照</x:v>
      </x:c>
      <x:c r="N16" s="40" t="str">
        <x:v>專業課程與證照</x:v>
      </x:c>
      <x:c r="O16" s="11"/>
      <x:c r="P16" s="38" t="str">
        <x:v>文章與專訪</x:v>
      </x:c>
      <x:c r="Q16" s="39" t="str">
        <x:v>文章與專訪</x:v>
      </x:c>
      <x:c r="R16" s="39" t="str">
        <x:v>文章與專訪</x:v>
      </x:c>
      <x:c r="S16" s="39" t="str">
        <x:v>文章與專訪</x:v>
      </x:c>
      <x:c r="T16" s="39" t="str">
        <x:v>文章與專訪</x:v>
      </x:c>
      <x:c r="U16" s="40" t="str">
        <x:v>文章與專訪</x:v>
      </x:c>
      <x:c r="V16" s="11"/>
      <x:c r="W16" s="38" t="str">
        <x:v>治理服務</x:v>
      </x:c>
      <x:c r="X16" s="39" t="str">
        <x:v>治理服務</x:v>
      </x:c>
      <x:c r="Y16" s="39" t="str">
        <x:v>治理服務</x:v>
      </x:c>
      <x:c r="Z16" s="39" t="str">
        <x:v>治理服務</x:v>
      </x:c>
      <x:c r="AA16" s="39" t="str">
        <x:v>治理服務</x:v>
      </x:c>
      <x:c r="AB16" s="40" t="str">
        <x:v>治理服務</x:v>
      </x:c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</x:row>
    <x:row r="18" ht="28.5" customHeight="1">
      <x:c r="A18" s="11"/>
      <x:c r="B18" s="46" t="str">
        <x:v>功能與服務</x:v>
      </x:c>
      <x:c r="C18" s="47" t="str">
        <x:v>功能與服務</x:v>
      </x:c>
      <x:c r="D18" s="47" t="str">
        <x:v>功能與服務</x:v>
      </x:c>
      <x:c r="E18" s="47" t="str">
        <x:v>功能與服務</x:v>
      </x:c>
      <x:c r="F18" s="47" t="str">
        <x:v>功能與服務</x:v>
      </x:c>
      <x:c r="G18" s="48" t="str">
        <x:v>功能與服務</x:v>
      </x:c>
      <x:c r="H18" s="11"/>
      <x:c r="I18" s="46" t="str">
        <x:v>TIRIC IR 專業實戰班</x:v>
      </x:c>
      <x:c r="J18" s="47" t="str">
        <x:v>TIRIC IR 專業實戰班</x:v>
      </x:c>
      <x:c r="K18" s="47" t="str">
        <x:v>TIRIC IR 專業實戰班</x:v>
      </x:c>
      <x:c r="L18" s="47" t="str">
        <x:v>TIRIC IR 專業實戰班</x:v>
      </x:c>
      <x:c r="M18" s="47" t="str">
        <x:v>TIRIC IR 專業實戰班</x:v>
      </x:c>
      <x:c r="N18" s="48" t="str">
        <x:v>TIRIC IR 專業實戰班</x:v>
      </x:c>
      <x:c r="O18" s="11"/>
      <x:c r="P18" s="46" t="str">
        <x:v>專文分享</x:v>
      </x:c>
      <x:c r="Q18" s="47" t="str">
        <x:v>專文分享</x:v>
      </x:c>
      <x:c r="R18" s="47" t="str">
        <x:v>專文分享</x:v>
      </x:c>
      <x:c r="S18" s="47" t="str">
        <x:v>專文分享</x:v>
      </x:c>
      <x:c r="T18" s="47" t="str">
        <x:v>專文分享</x:v>
      </x:c>
      <x:c r="U18" s="48" t="str">
        <x:v>專文分享</x:v>
      </x:c>
      <x:c r="V18" s="11"/>
      <x:c r="W18" s="46" t="str">
        <x:v>董事會績效評估</x:v>
      </x:c>
      <x:c r="X18" s="47" t="str">
        <x:v>董事會績效評估</x:v>
      </x:c>
      <x:c r="Y18" s="47" t="str">
        <x:v>董事會績效評估</x:v>
      </x:c>
      <x:c r="Z18" s="47" t="str">
        <x:v>董事會績效評估</x:v>
      </x:c>
      <x:c r="AA18" s="47" t="str">
        <x:v>董事會績效評估</x:v>
      </x:c>
      <x:c r="AB18" s="48" t="str">
        <x:v>董事會績效評估</x:v>
      </x:c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</x:row>
    <x:row r="19" ht="28.5" customHeight="1">
      <x:c r="A19" s="11"/>
      <x:c r="B19" s="46" t="str">
        <x:v>鄧白氏企業認證™</x:v>
      </x:c>
      <x:c r="C19" s="47" t="str">
        <x:v>鄧白氏企業認證™</x:v>
      </x:c>
      <x:c r="D19" s="47" t="str">
        <x:v>鄧白氏企業認證™</x:v>
      </x:c>
      <x:c r="E19" s="47" t="str">
        <x:v>鄧白氏企業認證™</x:v>
      </x:c>
      <x:c r="F19" s="47" t="str">
        <x:v>鄧白氏企業認證™</x:v>
      </x:c>
      <x:c r="G19" s="48" t="str">
        <x:v>鄧白氏企業認證™</x:v>
      </x:c>
      <x:c r="H19" s="11"/>
      <x:c r="I19" s="46" t="str">
        <x:v>董監事進修課程</x:v>
      </x:c>
      <x:c r="J19" s="47" t="str">
        <x:v>董監事進修課程</x:v>
      </x:c>
      <x:c r="K19" s="47" t="str">
        <x:v>董監事進修課程</x:v>
      </x:c>
      <x:c r="L19" s="47" t="str">
        <x:v>董監事進修課程</x:v>
      </x:c>
      <x:c r="M19" s="47" t="str">
        <x:v>董監事進修課程</x:v>
      </x:c>
      <x:c r="N19" s="48" t="str">
        <x:v>董監事進修課程</x:v>
      </x:c>
      <x:c r="O19" s="11"/>
      <x:c r="P19" s="46" t="str">
        <x:v>NIRI IR Update 精選</x:v>
      </x:c>
      <x:c r="Q19" s="47" t="str">
        <x:v>NIRI IR Update 精選</x:v>
      </x:c>
      <x:c r="R19" s="47" t="str">
        <x:v>NIRI IR Update 精選</x:v>
      </x:c>
      <x:c r="S19" s="47" t="str">
        <x:v>NIRI IR Update 精選</x:v>
      </x:c>
      <x:c r="T19" s="47" t="str">
        <x:v>NIRI IR Update 精選</x:v>
      </x:c>
      <x:c r="U19" s="48" t="str">
        <x:v>NIRI IR Update 精選</x:v>
      </x:c>
      <x:c r="V19" s="11"/>
      <x:c r="W19" s="46" t="str">
        <x:v>提升公司治理服務</x:v>
      </x:c>
      <x:c r="X19" s="47" t="str">
        <x:v>提升公司治理服務</x:v>
      </x:c>
      <x:c r="Y19" s="47" t="str">
        <x:v>提升公司治理服務</x:v>
      </x:c>
      <x:c r="Z19" s="47" t="str">
        <x:v>提升公司治理服務</x:v>
      </x:c>
      <x:c r="AA19" s="47" t="str">
        <x:v>提升公司治理服務</x:v>
      </x:c>
      <x:c r="AB19" s="48" t="str">
        <x:v>提升公司治理服務</x:v>
      </x:c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</x:row>
    <x:row r="20" ht="28.5" customHeight="1">
      <x:c r="A20" s="11"/>
      <x:c r="B20" s="11"/>
      <x:c r="C20" s="11"/>
      <x:c r="D20" s="11"/>
      <x:c r="E20" s="11"/>
      <x:c r="F20" s="11"/>
      <x:c r="G20" s="11"/>
      <x:c r="H20" s="11"/>
      <x:c r="I20" s="46" t="str">
        <x:v>IRC 國際證照</x:v>
      </x:c>
      <x:c r="J20" s="47" t="str">
        <x:v>IRC 國際證照</x:v>
      </x:c>
      <x:c r="K20" s="47" t="str">
        <x:v>IRC 國際證照</x:v>
      </x:c>
      <x:c r="L20" s="47" t="str">
        <x:v>IRC 國際證照</x:v>
      </x:c>
      <x:c r="M20" s="47" t="str">
        <x:v>IRC 國際證照</x:v>
      </x:c>
      <x:c r="N20" s="48" t="str">
        <x:v>IRC 國際證照</x:v>
      </x:c>
      <x:c r="O20" s="11"/>
      <x:c r="P20" s="46" t="str">
        <x:v>專訪沈馥馥理事長</x:v>
      </x:c>
      <x:c r="Q20" s="47" t="str">
        <x:v>專訪沈馥馥理事長</x:v>
      </x:c>
      <x:c r="R20" s="47" t="str">
        <x:v>專訪沈馥馥理事長</x:v>
      </x:c>
      <x:c r="S20" s="47" t="str">
        <x:v>專訪沈馥馥理事長</x:v>
      </x:c>
      <x:c r="T20" s="47" t="str">
        <x:v>專訪沈馥馥理事長</x:v>
      </x:c>
      <x:c r="U20" s="48" t="str">
        <x:v>專訪沈馥馥理事長</x:v>
      </x:c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</x:row>
    <x:row r="21" ht="28.5" customHeight="1">
      <x:c r="A21" s="11"/>
      <x:c r="B21" s="11"/>
      <x:c r="C21" s="11"/>
      <x:c r="D21" s="11"/>
      <x:c r="E21" s="11"/>
      <x:c r="F21" s="11"/>
      <x:c r="G21" s="11"/>
      <x:c r="H21" s="11"/>
      <x:c r="I21" s="46" t="str">
        <x:v>IRC 贊助獎學金</x:v>
      </x:c>
      <x:c r="J21" s="47" t="str">
        <x:v>IRC 贊助獎學金</x:v>
      </x:c>
      <x:c r="K21" s="47" t="str">
        <x:v>IRC 贊助獎學金</x:v>
      </x:c>
      <x:c r="L21" s="47" t="str">
        <x:v>IRC 贊助獎學金</x:v>
      </x:c>
      <x:c r="M21" s="47" t="str">
        <x:v>IRC 贊助獎學金</x:v>
      </x:c>
      <x:c r="N21" s="48" t="str">
        <x:v>IRC 贊助獎學金</x:v>
      </x:c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</x:row>
    <x:row r="23">
      <x:c r="A23" s="11"/>
      <x:c r="B23" s="11"/>
      <x:c r="C23" s="11"/>
      <x:c r="D23" s="11"/>
      <x:c r="E23" s="11"/>
      <x:c r="F23" s="11"/>
      <x:c r="G23" s="11"/>
      <x:c r="H23" s="53" t="str">
        <x:v>首頁</x:v>
      </x:c>
      <x:c r="I23" s="54" t="str">
        <x:v>首頁</x:v>
      </x:c>
      <x:c r="J23" s="54" t="str">
        <x:v>首頁</x:v>
      </x:c>
      <x:c r="K23" s="54" t="str">
        <x:v>首頁</x:v>
      </x:c>
      <x:c r="L23" s="54" t="str">
        <x:v>首頁</x:v>
      </x:c>
      <x:c r="M23" s="54" t="str">
        <x:v>首頁</x:v>
      </x:c>
      <x:c r="N23" s="55" t="str">
        <x:v>首頁</x:v>
      </x:c>
      <x:c r="O23" s="11"/>
      <x:c r="P23" s="63" t="str">
        <x:v>第一層：主選單</x:v>
      </x:c>
      <x:c r="Q23" s="64" t="str">
        <x:v>第一層：主選單</x:v>
      </x:c>
      <x:c r="R23" s="64" t="str">
        <x:v>第一層：主選單</x:v>
      </x:c>
      <x:c r="S23" s="64" t="str">
        <x:v>第一層：主選單</x:v>
      </x:c>
      <x:c r="T23" s="64" t="str">
        <x:v>第一層：主選單</x:v>
      </x:c>
      <x:c r="U23" s="64" t="str">
        <x:v>第一層：主選單</x:v>
      </x:c>
      <x:c r="V23" s="65" t="str">
        <x:v>第一層：主選單</x:v>
      </x:c>
      <x:c r="W23" s="11"/>
      <x:c r="X23" s="73" t="str">
        <x:v>第二層：分類</x:v>
      </x:c>
      <x:c r="Y23" s="74" t="str">
        <x:v>第二層：分類</x:v>
      </x:c>
      <x:c r="Z23" s="74" t="str">
        <x:v>第二層：分類</x:v>
      </x:c>
      <x:c r="AA23" s="74" t="str">
        <x:v>第二層：分類</x:v>
      </x:c>
      <x:c r="AB23" s="74" t="str">
        <x:v>第二層：分類</x:v>
      </x:c>
      <x:c r="AC23" s="74" t="str">
        <x:v>第二層：分類</x:v>
      </x:c>
      <x:c r="AD23" s="75" t="str">
        <x:v>第二層：分類</x:v>
      </x:c>
      <x:c r="AE23" s="11"/>
      <x:c r="AF23" s="79" t="str">
        <x:v>第三層：內容頁</x:v>
      </x:c>
      <x:c r="AG23" s="80" t="str">
        <x:v>第三層：內容頁</x:v>
      </x:c>
      <x:c r="AH23" s="80" t="str">
        <x:v>第三層：內容頁</x:v>
      </x:c>
      <x:c r="AI23" s="80" t="str">
        <x:v>第三層：內容頁</x:v>
      </x:c>
      <x:c r="AJ23" s="80" t="str">
        <x:v>第三層：內容頁</x:v>
      </x:c>
      <x:c r="AK23" s="80" t="str">
        <x:v>第三層：內容頁</x:v>
      </x:c>
      <x:c r="AL23" s="81" t="str">
        <x:v>第三層：內容頁</x:v>
      </x:c>
      <x:c r="AM23" s="11"/>
      <x:c r="AN23" s="11"/>
      <x:c r="AO23" s="11"/>
      <x:c r="AP23" s="11"/>
    </x:row>
    <x:row r="24">
      <x:c r="A24" s="11"/>
      <x:c r="B24" s="11"/>
      <x:c r="C24" s="11"/>
      <x:c r="D24" s="11"/>
      <x:c r="E24" s="11"/>
      <x:c r="F24" s="11"/>
      <x:c r="G24" s="11"/>
      <x:c r="H24" s="56" t="str">
        <x:v>首頁</x:v>
      </x:c>
      <x:c r="I24" s="57" t="str">
        <x:v>首頁</x:v>
      </x:c>
      <x:c r="J24" s="57" t="str">
        <x:v>首頁</x:v>
      </x:c>
      <x:c r="K24" s="57" t="str">
        <x:v>首頁</x:v>
      </x:c>
      <x:c r="L24" s="57" t="str">
        <x:v>首頁</x:v>
      </x:c>
      <x:c r="M24" s="57" t="str">
        <x:v>首頁</x:v>
      </x:c>
      <x:c r="N24" s="58" t="str">
        <x:v>首頁</x:v>
      </x:c>
      <x:c r="O24" s="11"/>
      <x:c r="P24" s="66" t="str">
        <x:v>第一層：主選單</x:v>
      </x:c>
      <x:c r="Q24" s="67" t="str">
        <x:v>第一層：主選單</x:v>
      </x:c>
      <x:c r="R24" s="67" t="str">
        <x:v>第一層：主選單</x:v>
      </x:c>
      <x:c r="S24" s="67" t="str">
        <x:v>第一層：主選單</x:v>
      </x:c>
      <x:c r="T24" s="67" t="str">
        <x:v>第一層：主選單</x:v>
      </x:c>
      <x:c r="U24" s="67" t="str">
        <x:v>第一層：主選單</x:v>
      </x:c>
      <x:c r="V24" s="68" t="str">
        <x:v>第一層：主選單</x:v>
      </x:c>
      <x:c r="W24" s="11"/>
      <x:c r="X24" s="76" t="str">
        <x:v>第二層：分類</x:v>
      </x:c>
      <x:c r="Y24" s="77" t="str">
        <x:v>第二層：分類</x:v>
      </x:c>
      <x:c r="Z24" s="77" t="str">
        <x:v>第二層：分類</x:v>
      </x:c>
      <x:c r="AA24" s="77" t="str">
        <x:v>第二層：分類</x:v>
      </x:c>
      <x:c r="AB24" s="77" t="str">
        <x:v>第二層：分類</x:v>
      </x:c>
      <x:c r="AC24" s="77" t="str">
        <x:v>第二層：分類</x:v>
      </x:c>
      <x:c r="AD24" s="78" t="str">
        <x:v>第二層：分類</x:v>
      </x:c>
      <x:c r="AE24" s="11"/>
      <x:c r="AF24" s="82" t="str">
        <x:v>第三層：內容頁</x:v>
      </x:c>
      <x:c r="AG24" s="83" t="str">
        <x:v>第三層：內容頁</x:v>
      </x:c>
      <x:c r="AH24" s="83" t="str">
        <x:v>第三層：內容頁</x:v>
      </x:c>
      <x:c r="AI24" s="83" t="str">
        <x:v>第三層：內容頁</x:v>
      </x:c>
      <x:c r="AJ24" s="83" t="str">
        <x:v>第三層：內容頁</x:v>
      </x:c>
      <x:c r="AK24" s="83" t="str">
        <x:v>第三層：內容頁</x:v>
      </x:c>
      <x:c r="AL24" s="84" t="str">
        <x:v>第三層：內容頁</x:v>
      </x:c>
      <x:c r="AM24" s="11"/>
      <x:c r="AN24" s="11"/>
      <x:c r="AO24" s="11"/>
      <x:c r="AP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</x:row>
  </x:sheetData>
  <x:mergeCells>
    <x:mergeCell ref="A1:AP2"/>
    <x:mergeCell ref="A3:AP3"/>
    <x:mergeCell ref="Q4:AA5"/>
    <x:mergeCell ref="A6:AP6"/>
    <x:mergeCell ref="B7:G7"/>
    <x:mergeCell ref="B9:G9"/>
    <x:mergeCell ref="B11:G11"/>
    <x:mergeCell ref="B12:G12"/>
    <x:mergeCell ref="B13:G13"/>
    <x:mergeCell ref="B14:G14"/>
    <x:mergeCell ref="B16:G16"/>
    <x:mergeCell ref="B18:G18"/>
    <x:mergeCell ref="B19:G19"/>
    <x:mergeCell ref="I7:N7"/>
    <x:mergeCell ref="I9:N9"/>
    <x:mergeCell ref="I11:N11"/>
    <x:mergeCell ref="I12:N12"/>
    <x:mergeCell ref="I13:N13"/>
    <x:mergeCell ref="I14:N14"/>
    <x:mergeCell ref="I16:N16"/>
    <x:mergeCell ref="I18:N18"/>
    <x:mergeCell ref="I19:N19"/>
    <x:mergeCell ref="I20:N20"/>
    <x:mergeCell ref="I21:N21"/>
    <x:mergeCell ref="P7:U7"/>
    <x:mergeCell ref="P9:U9"/>
    <x:mergeCell ref="P11:U11"/>
    <x:mergeCell ref="P12:U12"/>
    <x:mergeCell ref="P13:U13"/>
    <x:mergeCell ref="P16:U16"/>
    <x:mergeCell ref="P18:U18"/>
    <x:mergeCell ref="P19:U19"/>
    <x:mergeCell ref="P20:U20"/>
    <x:mergeCell ref="W7:AB7"/>
    <x:mergeCell ref="W9:AB9"/>
    <x:mergeCell ref="W11:AB11"/>
    <x:mergeCell ref="W12:AB12"/>
    <x:mergeCell ref="W13:AB13"/>
    <x:mergeCell ref="W16:AB16"/>
    <x:mergeCell ref="W18:AB18"/>
    <x:mergeCell ref="W19:AB19"/>
    <x:mergeCell ref="AD7:AI7"/>
    <x:mergeCell ref="AD9:AI9"/>
    <x:mergeCell ref="AD11:AI11"/>
    <x:mergeCell ref="AD12:AI12"/>
    <x:mergeCell ref="AK7:AP7"/>
    <x:mergeCell ref="AK9:AP9"/>
    <x:mergeCell ref="AK11:AP11"/>
    <x:mergeCell ref="AK12:AP12"/>
    <x:mergeCell ref="AK13:AP13"/>
    <x:mergeCell ref="H23:N24"/>
    <x:mergeCell ref="P23:V24"/>
    <x:mergeCell ref="X23:AD24"/>
    <x:mergeCell ref="AF23:A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26.110000610351562" hidden="0" customWidth="1"/>
    <x:col min="3" max="3" width="27.780000686645508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</x:cols>
  <x:sheetData>
    <x:row r="1" ht="30" customHeight="1">
      <x:c r="A1" s="9" t="str">
        <x:v>TIRI V1 網站專案時程表</x:v>
      </x:c>
      <x:c r="B1" s="9" t="str">
        <x:v>TIRI V1 網站專案時程表</x:v>
      </x:c>
      <x:c r="C1" s="9" t="str">
        <x:v>TIRI V1 網站專案時程表</x:v>
      </x:c>
      <x:c r="D1" s="9" t="str">
        <x:v>TIRI V1 網站專案時程表</x:v>
      </x:c>
      <x:c r="E1" s="9" t="str">
        <x:v>TIRI V1 網站專案時程表</x:v>
      </x:c>
      <x:c r="F1" s="9" t="str">
        <x:v>TIRI V1 網站專案時程表</x:v>
      </x:c>
      <x:c r="G1" s="9" t="str">
        <x:v>TIRI V1 網站專案時程表</x:v>
      </x:c>
      <x:c r="H1" s="9" t="str">
        <x:v>TIRI V1 網站專案時程表</x:v>
      </x:c>
      <x:c r="I1" s="9" t="str">
        <x:v>TIRI V1 網站專案時程表</x:v>
      </x:c>
      <x:c r="J1" s="9" t="str">
        <x:v>TIRI V1 網站專案時程表</x:v>
      </x:c>
      <x:c r="K1" s="9" t="str">
        <x:v>TIRI V1 網站專案時程表</x:v>
      </x:c>
      <x:c r="L1" s="9" t="str">
        <x:v>TIRI V1 網站專案時程表</x:v>
      </x:c>
      <x:c r="M1" s="9" t="str">
        <x:v>TIRI V1 網站專案時程表</x:v>
      </x:c>
      <x:c r="N1" s="9" t="str">
        <x:v>TIRI V1 網站專案時程表</x:v>
      </x:c>
      <x:c r="O1" s="9" t="str">
        <x:v>TIRI V1 網站專案時程表</x:v>
      </x:c>
      <x:c r="P1" s="9" t="str">
        <x:v>TIRI V1 網站專案時程表</x:v>
      </x:c>
      <x:c r="Q1" s="9" t="str">
        <x:v>TIRI V1 網站專案時程表</x:v>
      </x:c>
      <x:c r="R1" s="9" t="str">
        <x:v>TIRI V1 網站專案時程表</x:v>
      </x:c>
      <x:c r="S1" s="9" t="str">
        <x:v>TIRI V1 網站專案時程表</x:v>
      </x:c>
      <x:c r="T1" s="9" t="str">
        <x:v>TIRI V1 網站專案時程表</x:v>
      </x:c>
      <x:c r="U1" s="9" t="str">
        <x:v>TIRI V1 網站專案時程表</x:v>
      </x:c>
      <x:c r="V1" s="9" t="str">
        <x:v>TIRI V1 網站專案時程表</x:v>
      </x:c>
      <x:c r="W1" s="9" t="str">
        <x:v>TIRI V1 網站專案時程表</x:v>
      </x:c>
      <x:c r="X1" s="9" t="str">
        <x:v>TIRI V1 網站專案時程表</x:v>
      </x:c>
      <x:c r="Y1" s="9" t="str">
        <x:v>TIRI V1 網站專案時程表</x:v>
      </x:c>
      <x:c r="Z1" s="9" t="str">
        <x:v>TIRI V1 網站專案時程表</x:v>
      </x:c>
      <x:c r="AA1" s="9" t="str">
        <x:v>TIRI V1 網站專案時程表</x:v>
      </x:c>
      <x:c r="AB1" s="9" t="str">
        <x:v>TIRI V1 網站專案時程表</x:v>
      </x:c>
      <x:c r="AC1" s="9" t="str">
        <x:v>TIRI V1 網站專案時程表</x:v>
      </x:c>
      <x:c r="AD1" s="9" t="str">
        <x:v>TIRI V1 網站專案時程表</x:v>
      </x:c>
      <x:c r="AE1" s="9" t="str">
        <x:v>TIRI V1 網站專案時程表</x:v>
      </x:c>
      <x:c r="AF1" s="9" t="str">
        <x:v>TIRI V1 網站專案時程表</x:v>
      </x:c>
      <x:c r="AG1" s="9" t="str">
        <x:v>TIRI V1 網站專案時程表</x:v>
      </x:c>
      <x:c r="AH1" s="9" t="str">
        <x:v>TIRI V1 網站專案時程表</x:v>
      </x:c>
      <x:c r="AI1" s="9" t="str">
        <x:v>TIRI V1 網站專案時程表</x:v>
      </x:c>
      <x:c r="AJ1" s="9" t="str">
        <x:v>TIRI V1 網站專案時程表</x:v>
      </x:c>
      <x:c r="AK1" s="9" t="str">
        <x:v>TIRI V1 網站專案時程表</x:v>
      </x:c>
      <x:c r="AL1" s="9" t="str">
        <x:v>TIRI V1 網站專案時程表</x:v>
      </x:c>
      <x:c r="AM1" s="9" t="str">
        <x:v>TIRI V1 網站專案時程表</x:v>
      </x:c>
      <x:c r="AN1" s="9" t="str">
        <x:v>TIRI V1 網站專案時程表</x:v>
      </x:c>
    </x:row>
    <x:row r="2" ht="30" customHeight="1">
      <x:c r="A2" s="9" t="str">
        <x:v>TIRI V1 網站專案時程表</x:v>
      </x:c>
      <x:c r="B2" s="9" t="str">
        <x:v>TIRI V1 網站專案時程表</x:v>
      </x:c>
      <x:c r="C2" s="9" t="str">
        <x:v>TIRI V1 網站專案時程表</x:v>
      </x:c>
      <x:c r="D2" s="9" t="str">
        <x:v>TIRI V1 網站專案時程表</x:v>
      </x:c>
      <x:c r="E2" s="9" t="str">
        <x:v>TIRI V1 網站專案時程表</x:v>
      </x:c>
      <x:c r="F2" s="9" t="str">
        <x:v>TIRI V1 網站專案時程表</x:v>
      </x:c>
      <x:c r="G2" s="9" t="str">
        <x:v>TIRI V1 網站專案時程表</x:v>
      </x:c>
      <x:c r="H2" s="9" t="str">
        <x:v>TIRI V1 網站專案時程表</x:v>
      </x:c>
      <x:c r="I2" s="9" t="str">
        <x:v>TIRI V1 網站專案時程表</x:v>
      </x:c>
      <x:c r="J2" s="9" t="str">
        <x:v>TIRI V1 網站專案時程表</x:v>
      </x:c>
      <x:c r="K2" s="9" t="str">
        <x:v>TIRI V1 網站專案時程表</x:v>
      </x:c>
      <x:c r="L2" s="9" t="str">
        <x:v>TIRI V1 網站專案時程表</x:v>
      </x:c>
      <x:c r="M2" s="9" t="str">
        <x:v>TIRI V1 網站專案時程表</x:v>
      </x:c>
      <x:c r="N2" s="9" t="str">
        <x:v>TIRI V1 網站專案時程表</x:v>
      </x:c>
      <x:c r="O2" s="9" t="str">
        <x:v>TIRI V1 網站專案時程表</x:v>
      </x:c>
      <x:c r="P2" s="9" t="str">
        <x:v>TIRI V1 網站專案時程表</x:v>
      </x:c>
      <x:c r="Q2" s="9" t="str">
        <x:v>TIRI V1 網站專案時程表</x:v>
      </x:c>
      <x:c r="R2" s="9" t="str">
        <x:v>TIRI V1 網站專案時程表</x:v>
      </x:c>
      <x:c r="S2" s="9" t="str">
        <x:v>TIRI V1 網站專案時程表</x:v>
      </x:c>
      <x:c r="T2" s="9" t="str">
        <x:v>TIRI V1 網站專案時程表</x:v>
      </x:c>
      <x:c r="U2" s="9" t="str">
        <x:v>TIRI V1 網站專案時程表</x:v>
      </x:c>
      <x:c r="V2" s="9" t="str">
        <x:v>TIRI V1 網站專案時程表</x:v>
      </x:c>
      <x:c r="W2" s="9" t="str">
        <x:v>TIRI V1 網站專案時程表</x:v>
      </x:c>
      <x:c r="X2" s="9" t="str">
        <x:v>TIRI V1 網站專案時程表</x:v>
      </x:c>
      <x:c r="Y2" s="9" t="str">
        <x:v>TIRI V1 網站專案時程表</x:v>
      </x:c>
      <x:c r="Z2" s="9" t="str">
        <x:v>TIRI V1 網站專案時程表</x:v>
      </x:c>
      <x:c r="AA2" s="9" t="str">
        <x:v>TIRI V1 網站專案時程表</x:v>
      </x:c>
      <x:c r="AB2" s="9" t="str">
        <x:v>TIRI V1 網站專案時程表</x:v>
      </x:c>
      <x:c r="AC2" s="9" t="str">
        <x:v>TIRI V1 網站專案時程表</x:v>
      </x:c>
      <x:c r="AD2" s="9" t="str">
        <x:v>TIRI V1 網站專案時程表</x:v>
      </x:c>
      <x:c r="AE2" s="9" t="str">
        <x:v>TIRI V1 網站專案時程表</x:v>
      </x:c>
      <x:c r="AF2" s="9" t="str">
        <x:v>TIRI V1 網站專案時程表</x:v>
      </x:c>
      <x:c r="AG2" s="9" t="str">
        <x:v>TIRI V1 網站專案時程表</x:v>
      </x:c>
      <x:c r="AH2" s="9" t="str">
        <x:v>TIRI V1 網站專案時程表</x:v>
      </x:c>
      <x:c r="AI2" s="9" t="str">
        <x:v>TIRI V1 網站專案時程表</x:v>
      </x:c>
      <x:c r="AJ2" s="9" t="str">
        <x:v>TIRI V1 網站專案時程表</x:v>
      </x:c>
      <x:c r="AK2" s="9" t="str">
        <x:v>TIRI V1 網站專案時程表</x:v>
      </x:c>
      <x:c r="AL2" s="9" t="str">
        <x:v>TIRI V1 網站專案時程表</x:v>
      </x:c>
      <x:c r="AM2" s="9" t="str">
        <x:v>TIRI V1 網站專案時程表</x:v>
      </x:c>
      <x:c r="AN2" s="9" t="str">
        <x:v>TIRI V1 網站專案時程表</x:v>
      </x:c>
    </x:row>
    <x:row r="3" ht="18" customHeight="1">
      <x:c r="A3" s="10" t="str">
        <x:v>目標上線日：2026-09-15</x:v>
      </x:c>
      <x:c r="B3" s="10" t="str">
        <x:v>目標上線日：2026-09-15</x:v>
      </x:c>
      <x:c r="C3" s="10" t="str">
        <x:v>目標上線日：2026-09-15</x:v>
      </x:c>
      <x:c r="D3" s="10" t="str">
        <x:v>目標上線日：2026-09-15</x:v>
      </x:c>
      <x:c r="E3" s="10" t="str">
        <x:v>目標上線日：2026-09-15</x:v>
      </x:c>
      <x:c r="F3" s="10" t="str">
        <x:v>目標上線日：2026-09-15</x:v>
      </x:c>
      <x:c r="G3" s="10" t="str">
        <x:v>目標上線日：2026-09-15</x:v>
      </x:c>
      <x:c r="H3" s="10" t="str">
        <x:v>目標上線日：2026-09-15</x:v>
      </x:c>
      <x:c r="I3" s="10" t="str">
        <x:v>目標上線日：2026-09-15</x:v>
      </x:c>
      <x:c r="J3" s="10" t="str">
        <x:v>目標上線日：2026-09-15</x:v>
      </x:c>
      <x:c r="K3" s="10" t="str">
        <x:v>目標上線日：2026-09-15</x:v>
      </x:c>
      <x:c r="L3" s="10" t="str">
        <x:v>目標上線日：2026-09-15</x:v>
      </x:c>
      <x:c r="M3" s="10" t="str">
        <x:v>目標上線日：2026-09-15</x:v>
      </x:c>
      <x:c r="N3" s="10" t="str">
        <x:v>目標上線日：2026-09-15</x:v>
      </x:c>
      <x:c r="O3" s="10" t="str">
        <x:v>目標上線日：2026-09-15</x:v>
      </x:c>
      <x:c r="P3" s="10" t="str">
        <x:v>目標上線日：2026-09-15</x:v>
      </x:c>
      <x:c r="Q3" s="10" t="str">
        <x:v>目標上線日：2026-09-15</x:v>
      </x:c>
      <x:c r="R3" s="10" t="str">
        <x:v>目標上線日：2026-09-15</x:v>
      </x:c>
      <x:c r="S3" s="10" t="str">
        <x:v>目標上線日：2026-09-15</x:v>
      </x:c>
      <x:c r="T3" s="10" t="str">
        <x:v>目標上線日：2026-09-15</x:v>
      </x:c>
      <x:c r="U3" s="10" t="str">
        <x:v>目標上線日：2026-09-15</x:v>
      </x:c>
      <x:c r="V3" s="10" t="str">
        <x:v>目標上線日：2026-09-15</x:v>
      </x:c>
      <x:c r="W3" s="10" t="str">
        <x:v>目標上線日：2026-09-15</x:v>
      </x:c>
      <x:c r="X3" s="10" t="str">
        <x:v>目標上線日：2026-09-15</x:v>
      </x:c>
      <x:c r="Y3" s="10" t="str">
        <x:v>目標上線日：2026-09-15</x:v>
      </x:c>
      <x:c r="Z3" s="10" t="str">
        <x:v>目標上線日：2026-09-15</x:v>
      </x:c>
      <x:c r="AA3" s="10" t="str">
        <x:v>目標上線日：2026-09-15</x:v>
      </x:c>
      <x:c r="AB3" s="10" t="str">
        <x:v>目標上線日：2026-09-15</x:v>
      </x:c>
      <x:c r="AC3" s="10" t="str">
        <x:v>目標上線日：2026-09-15</x:v>
      </x:c>
      <x:c r="AD3" s="10" t="str">
        <x:v>目標上線日：2026-09-15</x:v>
      </x:c>
      <x:c r="AE3" s="10" t="str">
        <x:v>目標上線日：2026-09-15</x:v>
      </x:c>
      <x:c r="AF3" s="10" t="str">
        <x:v>目標上線日：2026-09-15</x:v>
      </x:c>
      <x:c r="AG3" s="10" t="str">
        <x:v>目標上線日：2026-09-15</x:v>
      </x:c>
      <x:c r="AH3" s="10" t="str">
        <x:v>目標上線日：2026-09-15</x:v>
      </x:c>
      <x:c r="AI3" s="10" t="str">
        <x:v>目標上線日：2026-09-15</x:v>
      </x:c>
      <x:c r="AJ3" s="10" t="str">
        <x:v>目標上線日：2026-09-15</x:v>
      </x:c>
      <x:c r="AK3" s="10" t="str">
        <x:v>目標上線日：2026-09-15</x:v>
      </x:c>
      <x:c r="AL3" s="10" t="str">
        <x:v>目標上線日：2026-09-15</x:v>
      </x:c>
      <x:c r="AM3" s="10" t="str">
        <x:v>目標上線日：2026-09-15</x:v>
      </x:c>
      <x:c r="AN3" s="10" t="str">
        <x:v>目標上線日：2026-09-15</x:v>
      </x:c>
    </x:row>
    <x:row r="4" ht="25.5" customHeight="1">
      <x:c r="A4" s="88" t="str">
        <x:v>階段</x:v>
      </x:c>
      <x:c r="B4" s="88" t="str">
        <x:v>工作項目</x:v>
      </x:c>
      <x:c r="C4" s="88" t="str">
        <x:v>預計成果</x:v>
      </x:c>
      <x:c r="D4" s="93" t="n">
        <x:v>46244</x:v>
      </x:c>
      <x:c r="E4" s="93" t="n">
        <x:v>46245</x:v>
      </x:c>
      <x:c r="F4" s="93" t="n">
        <x:v>46246</x:v>
      </x:c>
      <x:c r="G4" s="93" t="n">
        <x:v>46247</x:v>
      </x:c>
      <x:c r="H4" s="93" t="n">
        <x:v>46248</x:v>
      </x:c>
      <x:c r="I4" s="132" t="n">
        <x:v>46249</x:v>
      </x:c>
      <x:c r="J4" s="132" t="n">
        <x:v>46250</x:v>
      </x:c>
      <x:c r="K4" s="93" t="n">
        <x:v>46251</x:v>
      </x:c>
      <x:c r="L4" s="93" t="n">
        <x:v>46252</x:v>
      </x:c>
      <x:c r="M4" s="93" t="n">
        <x:v>46253</x:v>
      </x:c>
      <x:c r="N4" s="93" t="n">
        <x:v>46254</x:v>
      </x:c>
      <x:c r="O4" s="93" t="n">
        <x:v>46255</x:v>
      </x:c>
      <x:c r="P4" s="132" t="n">
        <x:v>46256</x:v>
      </x:c>
      <x:c r="Q4" s="132" t="n">
        <x:v>46257</x:v>
      </x:c>
      <x:c r="R4" s="93" t="n">
        <x:v>46258</x:v>
      </x:c>
      <x:c r="S4" s="93" t="n">
        <x:v>46259</x:v>
      </x:c>
      <x:c r="T4" s="93" t="n">
        <x:v>46260</x:v>
      </x:c>
      <x:c r="U4" s="93" t="n">
        <x:v>46261</x:v>
      </x:c>
      <x:c r="V4" s="93" t="n">
        <x:v>46262</x:v>
      </x:c>
      <x:c r="W4" s="132" t="n">
        <x:v>46263</x:v>
      </x:c>
      <x:c r="X4" s="132" t="n">
        <x:v>46264</x:v>
      </x:c>
      <x:c r="Y4" s="93" t="n">
        <x:v>46265</x:v>
      </x:c>
      <x:c r="Z4" s="93" t="n">
        <x:v>46266</x:v>
      </x:c>
      <x:c r="AA4" s="93" t="n">
        <x:v>46267</x:v>
      </x:c>
      <x:c r="AB4" s="93" t="n">
        <x:v>46268</x:v>
      </x:c>
      <x:c r="AC4" s="93" t="n">
        <x:v>46269</x:v>
      </x:c>
      <x:c r="AD4" s="132" t="n">
        <x:v>46270</x:v>
      </x:c>
      <x:c r="AE4" s="132" t="n">
        <x:v>46271</x:v>
      </x:c>
      <x:c r="AF4" s="93" t="n">
        <x:v>46272</x:v>
      </x:c>
      <x:c r="AG4" s="93" t="n">
        <x:v>46273</x:v>
      </x:c>
      <x:c r="AH4" s="93" t="n">
        <x:v>46274</x:v>
      </x:c>
      <x:c r="AI4" s="93" t="n">
        <x:v>46275</x:v>
      </x:c>
      <x:c r="AJ4" s="93" t="n">
        <x:v>46276</x:v>
      </x:c>
      <x:c r="AK4" s="132" t="n">
        <x:v>46277</x:v>
      </x:c>
      <x:c r="AL4" s="132" t="n">
        <x:v>46278</x:v>
      </x:c>
      <x:c r="AM4" s="93" t="n">
        <x:v>46279</x:v>
      </x:c>
      <x:c r="AN4" s="93" t="n">
        <x:v>46280</x:v>
      </x:c>
    </x:row>
    <x:row r="5" ht="24" customHeight="1">
      <x:c r="A5" s="104" t="str">
        <x:v>規劃</x:v>
      </x:c>
      <x:c r="B5" s="97" t="str">
        <x:v>前台架構與內容確認</x:v>
      </x:c>
      <x:c r="C5" s="97" t="str">
        <x:v>主選單、頁面層級與內容方向</x:v>
      </x:c>
      <x:c r="D5" s="105" t="str">
        <x:f>IF(AND(D$4&gt;=DATE(2026,8,10),D$4&lt;=DATE(2026,8,14)),"■","")</x:f>
        <x:v>■</x:v>
      </x:c>
      <x:c r="E5" s="105" t="str">
        <x:f>IF(AND(E$4&gt;=DATE(2026,8,10),E$4&lt;=DATE(2026,8,14)),"■","")</x:f>
        <x:v>■</x:v>
      </x:c>
      <x:c r="F5" s="105" t="str">
        <x:f>IF(AND(F$4&gt;=DATE(2026,8,10),F$4&lt;=DATE(2026,8,14)),"■","")</x:f>
        <x:v>■</x:v>
      </x:c>
      <x:c r="G5" s="105" t="str">
        <x:f>IF(AND(G$4&gt;=DATE(2026,8,10),G$4&lt;=DATE(2026,8,14)),"■","")</x:f>
        <x:v>■</x:v>
      </x:c>
      <x:c r="H5" s="105" t="str">
        <x:f>IF(AND(H$4&gt;=DATE(2026,8,10),H$4&lt;=DATE(2026,8,14)),"■","")</x:f>
        <x:v>■</x:v>
      </x:c>
      <x:c r="I5" s="125" t="str">
        <x:f>IF(AND(I$4&gt;=DATE(2026,8,10),I$4&lt;=DATE(2026,8,14)),"■","")</x:f>
      </x:c>
      <x:c r="J5" s="125" t="str">
        <x:f>IF(AND(J$4&gt;=DATE(2026,8,10),J$4&lt;=DATE(2026,8,14)),"■","")</x:f>
      </x:c>
      <x:c r="K5" s="105" t="str">
        <x:f>IF(AND(K$4&gt;=DATE(2026,8,10),K$4&lt;=DATE(2026,8,14)),"■","")</x:f>
      </x:c>
      <x:c r="L5" s="105" t="str">
        <x:f>IF(AND(L$4&gt;=DATE(2026,8,10),L$4&lt;=DATE(2026,8,14)),"■","")</x:f>
      </x:c>
      <x:c r="M5" s="105" t="str">
        <x:f>IF(AND(M$4&gt;=DATE(2026,8,10),M$4&lt;=DATE(2026,8,14)),"■","")</x:f>
      </x:c>
      <x:c r="N5" s="105" t="str">
        <x:f>IF(AND(N$4&gt;=DATE(2026,8,10),N$4&lt;=DATE(2026,8,14)),"■","")</x:f>
      </x:c>
      <x:c r="O5" s="105" t="str">
        <x:f>IF(AND(O$4&gt;=DATE(2026,8,10),O$4&lt;=DATE(2026,8,14)),"■","")</x:f>
      </x:c>
      <x:c r="P5" s="125" t="str">
        <x:f>IF(AND(P$4&gt;=DATE(2026,8,10),P$4&lt;=DATE(2026,8,14)),"■","")</x:f>
      </x:c>
      <x:c r="Q5" s="125" t="str">
        <x:f>IF(AND(Q$4&gt;=DATE(2026,8,10),Q$4&lt;=DATE(2026,8,14)),"■","")</x:f>
      </x:c>
      <x:c r="R5" s="105" t="str">
        <x:f>IF(AND(R$4&gt;=DATE(2026,8,10),R$4&lt;=DATE(2026,8,14)),"■","")</x:f>
      </x:c>
      <x:c r="S5" s="105" t="str">
        <x:f>IF(AND(S$4&gt;=DATE(2026,8,10),S$4&lt;=DATE(2026,8,14)),"■","")</x:f>
      </x:c>
      <x:c r="T5" s="105" t="str">
        <x:f>IF(AND(T$4&gt;=DATE(2026,8,10),T$4&lt;=DATE(2026,8,14)),"■","")</x:f>
      </x:c>
      <x:c r="U5" s="105" t="str">
        <x:f>IF(AND(U$4&gt;=DATE(2026,8,10),U$4&lt;=DATE(2026,8,14)),"■","")</x:f>
      </x:c>
      <x:c r="V5" s="105" t="str">
        <x:f>IF(AND(V$4&gt;=DATE(2026,8,10),V$4&lt;=DATE(2026,8,14)),"■","")</x:f>
      </x:c>
      <x:c r="W5" s="125" t="str">
        <x:f>IF(AND(W$4&gt;=DATE(2026,8,10),W$4&lt;=DATE(2026,8,14)),"■","")</x:f>
      </x:c>
      <x:c r="X5" s="125" t="str">
        <x:f>IF(AND(X$4&gt;=DATE(2026,8,10),X$4&lt;=DATE(2026,8,14)),"■","")</x:f>
      </x:c>
      <x:c r="Y5" s="105" t="str">
        <x:f>IF(AND(Y$4&gt;=DATE(2026,8,10),Y$4&lt;=DATE(2026,8,14)),"■","")</x:f>
      </x:c>
      <x:c r="Z5" s="105" t="str">
        <x:f>IF(AND(Z$4&gt;=DATE(2026,8,10),Z$4&lt;=DATE(2026,8,14)),"■","")</x:f>
      </x:c>
      <x:c r="AA5" s="105" t="str">
        <x:f>IF(AND(AA$4&gt;=DATE(2026,8,10),AA$4&lt;=DATE(2026,8,14)),"■","")</x:f>
      </x:c>
      <x:c r="AB5" s="105" t="str">
        <x:f>IF(AND(AB$4&gt;=DATE(2026,8,10),AB$4&lt;=DATE(2026,8,14)),"■","")</x:f>
      </x:c>
      <x:c r="AC5" s="105" t="str">
        <x:f>IF(AND(AC$4&gt;=DATE(2026,8,10),AC$4&lt;=DATE(2026,8,14)),"■","")</x:f>
      </x:c>
      <x:c r="AD5" s="125" t="str">
        <x:f>IF(AND(AD$4&gt;=DATE(2026,8,10),AD$4&lt;=DATE(2026,8,14)),"■","")</x:f>
      </x:c>
      <x:c r="AE5" s="125" t="str">
        <x:f>IF(AND(AE$4&gt;=DATE(2026,8,10),AE$4&lt;=DATE(2026,8,14)),"■","")</x:f>
      </x:c>
      <x:c r="AF5" s="105" t="str">
        <x:f>IF(AND(AF$4&gt;=DATE(2026,8,10),AF$4&lt;=DATE(2026,8,14)),"■","")</x:f>
      </x:c>
      <x:c r="AG5" s="105" t="str">
        <x:f>IF(AND(AG$4&gt;=DATE(2026,8,10),AG$4&lt;=DATE(2026,8,14)),"■","")</x:f>
      </x:c>
      <x:c r="AH5" s="105" t="str">
        <x:f>IF(AND(AH$4&gt;=DATE(2026,8,10),AH$4&lt;=DATE(2026,8,14)),"■","")</x:f>
      </x:c>
      <x:c r="AI5" s="105" t="str">
        <x:f>IF(AND(AI$4&gt;=DATE(2026,8,10),AI$4&lt;=DATE(2026,8,14)),"■","")</x:f>
      </x:c>
      <x:c r="AJ5" s="105" t="str">
        <x:f>IF(AND(AJ$4&gt;=DATE(2026,8,10),AJ$4&lt;=DATE(2026,8,14)),"■","")</x:f>
      </x:c>
      <x:c r="AK5" s="125" t="str">
        <x:f>IF(AND(AK$4&gt;=DATE(2026,8,10),AK$4&lt;=DATE(2026,8,14)),"■","")</x:f>
      </x:c>
      <x:c r="AL5" s="125" t="str">
        <x:f>IF(AND(AL$4&gt;=DATE(2026,8,10),AL$4&lt;=DATE(2026,8,14)),"■","")</x:f>
      </x:c>
      <x:c r="AM5" s="105" t="str">
        <x:f>IF(AND(AM$4&gt;=DATE(2026,8,10),AM$4&lt;=DATE(2026,8,14)),"■","")</x:f>
      </x:c>
      <x:c r="AN5" s="105" t="str">
        <x:f>IF(AND(AN$4&gt;=DATE(2026,8,10),AN$4&lt;=DATE(2026,8,14)),"■","")</x:f>
      </x:c>
    </x:row>
    <x:row r="6" ht="24" customHeight="1">
      <x:c r="A6" s="107" t="str">
        <x:v>製作</x:v>
      </x:c>
      <x:c r="B6" s="98" t="str">
        <x:v>前台頁面整理與製作</x:v>
      </x:c>
      <x:c r="C6" s="98" t="str">
        <x:v>完成中英文共用頁面模板</x:v>
      </x:c>
      <x:c r="D6" s="108" t="str">
        <x:f>IF(AND(D$4&gt;=DATE(2026,8,17),D$4&lt;=DATE(2026,8,28)),"■","")</x:f>
      </x:c>
      <x:c r="E6" s="108" t="str">
        <x:f>IF(AND(E$4&gt;=DATE(2026,8,17),E$4&lt;=DATE(2026,8,28)),"■","")</x:f>
      </x:c>
      <x:c r="F6" s="108" t="str">
        <x:f>IF(AND(F$4&gt;=DATE(2026,8,17),F$4&lt;=DATE(2026,8,28)),"■","")</x:f>
      </x:c>
      <x:c r="G6" s="108" t="str">
        <x:f>IF(AND(G$4&gt;=DATE(2026,8,17),G$4&lt;=DATE(2026,8,28)),"■","")</x:f>
      </x:c>
      <x:c r="H6" s="108" t="str">
        <x:f>IF(AND(H$4&gt;=DATE(2026,8,17),H$4&lt;=DATE(2026,8,28)),"■","")</x:f>
      </x:c>
      <x:c r="I6" s="126" t="str">
        <x:f>IF(AND(I$4&gt;=DATE(2026,8,17),I$4&lt;=DATE(2026,8,28)),"■","")</x:f>
      </x:c>
      <x:c r="J6" s="126" t="str">
        <x:f>IF(AND(J$4&gt;=DATE(2026,8,17),J$4&lt;=DATE(2026,8,28)),"■","")</x:f>
      </x:c>
      <x:c r="K6" s="108" t="str">
        <x:f>IF(AND(K$4&gt;=DATE(2026,8,17),K$4&lt;=DATE(2026,8,28)),"■","")</x:f>
        <x:v>■</x:v>
      </x:c>
      <x:c r="L6" s="108" t="str">
        <x:f>IF(AND(L$4&gt;=DATE(2026,8,17),L$4&lt;=DATE(2026,8,28)),"■","")</x:f>
        <x:v>■</x:v>
      </x:c>
      <x:c r="M6" s="108" t="str">
        <x:f>IF(AND(M$4&gt;=DATE(2026,8,17),M$4&lt;=DATE(2026,8,28)),"■","")</x:f>
        <x:v>■</x:v>
      </x:c>
      <x:c r="N6" s="108" t="str">
        <x:f>IF(AND(N$4&gt;=DATE(2026,8,17),N$4&lt;=DATE(2026,8,28)),"■","")</x:f>
        <x:v>■</x:v>
      </x:c>
      <x:c r="O6" s="108" t="str">
        <x:f>IF(AND(O$4&gt;=DATE(2026,8,17),O$4&lt;=DATE(2026,8,28)),"■","")</x:f>
        <x:v>■</x:v>
      </x:c>
      <x:c r="P6" s="126" t="str">
        <x:f>IF(AND(P$4&gt;=DATE(2026,8,17),P$4&lt;=DATE(2026,8,28)),"■","")</x:f>
        <x:v>■</x:v>
      </x:c>
      <x:c r="Q6" s="126" t="str">
        <x:f>IF(AND(Q$4&gt;=DATE(2026,8,17),Q$4&lt;=DATE(2026,8,28)),"■","")</x:f>
        <x:v>■</x:v>
      </x:c>
      <x:c r="R6" s="108" t="str">
        <x:f>IF(AND(R$4&gt;=DATE(2026,8,17),R$4&lt;=DATE(2026,8,28)),"■","")</x:f>
        <x:v>■</x:v>
      </x:c>
      <x:c r="S6" s="108" t="str">
        <x:f>IF(AND(S$4&gt;=DATE(2026,8,17),S$4&lt;=DATE(2026,8,28)),"■","")</x:f>
        <x:v>■</x:v>
      </x:c>
      <x:c r="T6" s="108" t="str">
        <x:f>IF(AND(T$4&gt;=DATE(2026,8,17),T$4&lt;=DATE(2026,8,28)),"■","")</x:f>
        <x:v>■</x:v>
      </x:c>
      <x:c r="U6" s="108" t="str">
        <x:f>IF(AND(U$4&gt;=DATE(2026,8,17),U$4&lt;=DATE(2026,8,28)),"■","")</x:f>
        <x:v>■</x:v>
      </x:c>
      <x:c r="V6" s="108" t="str">
        <x:f>IF(AND(V$4&gt;=DATE(2026,8,17),V$4&lt;=DATE(2026,8,28)),"■","")</x:f>
        <x:v>■</x:v>
      </x:c>
      <x:c r="W6" s="126" t="str">
        <x:f>IF(AND(W$4&gt;=DATE(2026,8,17),W$4&lt;=DATE(2026,8,28)),"■","")</x:f>
      </x:c>
      <x:c r="X6" s="126" t="str">
        <x:f>IF(AND(X$4&gt;=DATE(2026,8,17),X$4&lt;=DATE(2026,8,28)),"■","")</x:f>
      </x:c>
      <x:c r="Y6" s="108" t="str">
        <x:f>IF(AND(Y$4&gt;=DATE(2026,8,17),Y$4&lt;=DATE(2026,8,28)),"■","")</x:f>
      </x:c>
      <x:c r="Z6" s="108" t="str">
        <x:f>IF(AND(Z$4&gt;=DATE(2026,8,17),Z$4&lt;=DATE(2026,8,28)),"■","")</x:f>
      </x:c>
      <x:c r="AA6" s="108" t="str">
        <x:f>IF(AND(AA$4&gt;=DATE(2026,8,17),AA$4&lt;=DATE(2026,8,28)),"■","")</x:f>
      </x:c>
      <x:c r="AB6" s="108" t="str">
        <x:f>IF(AND(AB$4&gt;=DATE(2026,8,17),AB$4&lt;=DATE(2026,8,28)),"■","")</x:f>
      </x:c>
      <x:c r="AC6" s="108" t="str">
        <x:f>IF(AND(AC$4&gt;=DATE(2026,8,17),AC$4&lt;=DATE(2026,8,28)),"■","")</x:f>
      </x:c>
      <x:c r="AD6" s="126" t="str">
        <x:f>IF(AND(AD$4&gt;=DATE(2026,8,17),AD$4&lt;=DATE(2026,8,28)),"■","")</x:f>
      </x:c>
      <x:c r="AE6" s="126" t="str">
        <x:f>IF(AND(AE$4&gt;=DATE(2026,8,17),AE$4&lt;=DATE(2026,8,28)),"■","")</x:f>
      </x:c>
      <x:c r="AF6" s="108" t="str">
        <x:f>IF(AND(AF$4&gt;=DATE(2026,8,17),AF$4&lt;=DATE(2026,8,28)),"■","")</x:f>
      </x:c>
      <x:c r="AG6" s="108" t="str">
        <x:f>IF(AND(AG$4&gt;=DATE(2026,8,17),AG$4&lt;=DATE(2026,8,28)),"■","")</x:f>
      </x:c>
      <x:c r="AH6" s="108" t="str">
        <x:f>IF(AND(AH$4&gt;=DATE(2026,8,17),AH$4&lt;=DATE(2026,8,28)),"■","")</x:f>
      </x:c>
      <x:c r="AI6" s="108" t="str">
        <x:f>IF(AND(AI$4&gt;=DATE(2026,8,17),AI$4&lt;=DATE(2026,8,28)),"■","")</x:f>
      </x:c>
      <x:c r="AJ6" s="108" t="str">
        <x:f>IF(AND(AJ$4&gt;=DATE(2026,8,17),AJ$4&lt;=DATE(2026,8,28)),"■","")</x:f>
      </x:c>
      <x:c r="AK6" s="126" t="str">
        <x:f>IF(AND(AK$4&gt;=DATE(2026,8,17),AK$4&lt;=DATE(2026,8,28)),"■","")</x:f>
      </x:c>
      <x:c r="AL6" s="126" t="str">
        <x:f>IF(AND(AL$4&gt;=DATE(2026,8,17),AL$4&lt;=DATE(2026,8,28)),"■","")</x:f>
      </x:c>
      <x:c r="AM6" s="108" t="str">
        <x:f>IF(AND(AM$4&gt;=DATE(2026,8,17),AM$4&lt;=DATE(2026,8,28)),"■","")</x:f>
      </x:c>
      <x:c r="AN6" s="108" t="str">
        <x:f>IF(AND(AN$4&gt;=DATE(2026,8,17),AN$4&lt;=DATE(2026,8,28)),"■","")</x:f>
      </x:c>
    </x:row>
    <x:row r="7" ht="24" customHeight="1">
      <x:c r="A7" s="107" t="str">
        <x:v>製作</x:v>
      </x:c>
      <x:c r="B7" s="98" t="str">
        <x:v>CMS 後台建置</x:v>
      </x:c>
      <x:c r="C7" s="98" t="str">
        <x:v>完成網站內容管理後台</x:v>
      </x:c>
      <x:c r="D7" s="108" t="str">
        <x:f>IF(AND(D$4&gt;=DATE(2026,8,17),D$4&lt;=DATE(2026,9,4)),"■","")</x:f>
      </x:c>
      <x:c r="E7" s="108" t="str">
        <x:f>IF(AND(E$4&gt;=DATE(2026,8,17),E$4&lt;=DATE(2026,9,4)),"■","")</x:f>
      </x:c>
      <x:c r="F7" s="108" t="str">
        <x:f>IF(AND(F$4&gt;=DATE(2026,8,17),F$4&lt;=DATE(2026,9,4)),"■","")</x:f>
      </x:c>
      <x:c r="G7" s="108" t="str">
        <x:f>IF(AND(G$4&gt;=DATE(2026,8,17),G$4&lt;=DATE(2026,9,4)),"■","")</x:f>
      </x:c>
      <x:c r="H7" s="108" t="str">
        <x:f>IF(AND(H$4&gt;=DATE(2026,8,17),H$4&lt;=DATE(2026,9,4)),"■","")</x:f>
      </x:c>
      <x:c r="I7" s="126" t="str">
        <x:f>IF(AND(I$4&gt;=DATE(2026,8,17),I$4&lt;=DATE(2026,9,4)),"■","")</x:f>
      </x:c>
      <x:c r="J7" s="126" t="str">
        <x:f>IF(AND(J$4&gt;=DATE(2026,8,17),J$4&lt;=DATE(2026,9,4)),"■","")</x:f>
      </x:c>
      <x:c r="K7" s="108" t="str">
        <x:f>IF(AND(K$4&gt;=DATE(2026,8,17),K$4&lt;=DATE(2026,9,4)),"■","")</x:f>
        <x:v>■</x:v>
      </x:c>
      <x:c r="L7" s="108" t="str">
        <x:f>IF(AND(L$4&gt;=DATE(2026,8,17),L$4&lt;=DATE(2026,9,4)),"■","")</x:f>
        <x:v>■</x:v>
      </x:c>
      <x:c r="M7" s="108" t="str">
        <x:f>IF(AND(M$4&gt;=DATE(2026,8,17),M$4&lt;=DATE(2026,9,4)),"■","")</x:f>
        <x:v>■</x:v>
      </x:c>
      <x:c r="N7" s="108" t="str">
        <x:f>IF(AND(N$4&gt;=DATE(2026,8,17),N$4&lt;=DATE(2026,9,4)),"■","")</x:f>
        <x:v>■</x:v>
      </x:c>
      <x:c r="O7" s="108" t="str">
        <x:f>IF(AND(O$4&gt;=DATE(2026,8,17),O$4&lt;=DATE(2026,9,4)),"■","")</x:f>
        <x:v>■</x:v>
      </x:c>
      <x:c r="P7" s="126" t="str">
        <x:f>IF(AND(P$4&gt;=DATE(2026,8,17),P$4&lt;=DATE(2026,9,4)),"■","")</x:f>
        <x:v>■</x:v>
      </x:c>
      <x:c r="Q7" s="126" t="str">
        <x:f>IF(AND(Q$4&gt;=DATE(2026,8,17),Q$4&lt;=DATE(2026,9,4)),"■","")</x:f>
        <x:v>■</x:v>
      </x:c>
      <x:c r="R7" s="108" t="str">
        <x:f>IF(AND(R$4&gt;=DATE(2026,8,17),R$4&lt;=DATE(2026,9,4)),"■","")</x:f>
        <x:v>■</x:v>
      </x:c>
      <x:c r="S7" s="108" t="str">
        <x:f>IF(AND(S$4&gt;=DATE(2026,8,17),S$4&lt;=DATE(2026,9,4)),"■","")</x:f>
        <x:v>■</x:v>
      </x:c>
      <x:c r="T7" s="108" t="str">
        <x:f>IF(AND(T$4&gt;=DATE(2026,8,17),T$4&lt;=DATE(2026,9,4)),"■","")</x:f>
        <x:v>■</x:v>
      </x:c>
      <x:c r="U7" s="108" t="str">
        <x:f>IF(AND(U$4&gt;=DATE(2026,8,17),U$4&lt;=DATE(2026,9,4)),"■","")</x:f>
        <x:v>■</x:v>
      </x:c>
      <x:c r="V7" s="108" t="str">
        <x:f>IF(AND(V$4&gt;=DATE(2026,8,17),V$4&lt;=DATE(2026,9,4)),"■","")</x:f>
        <x:v>■</x:v>
      </x:c>
      <x:c r="W7" s="126" t="str">
        <x:f>IF(AND(W$4&gt;=DATE(2026,8,17),W$4&lt;=DATE(2026,9,4)),"■","")</x:f>
        <x:v>■</x:v>
      </x:c>
      <x:c r="X7" s="126" t="str">
        <x:f>IF(AND(X$4&gt;=DATE(2026,8,17),X$4&lt;=DATE(2026,9,4)),"■","")</x:f>
        <x:v>■</x:v>
      </x:c>
      <x:c r="Y7" s="108" t="str">
        <x:f>IF(AND(Y$4&gt;=DATE(2026,8,17),Y$4&lt;=DATE(2026,9,4)),"■","")</x:f>
        <x:v>■</x:v>
      </x:c>
      <x:c r="Z7" s="108" t="str">
        <x:f>IF(AND(Z$4&gt;=DATE(2026,8,17),Z$4&lt;=DATE(2026,9,4)),"■","")</x:f>
        <x:v>■</x:v>
      </x:c>
      <x:c r="AA7" s="108" t="str">
        <x:f>IF(AND(AA$4&gt;=DATE(2026,8,17),AA$4&lt;=DATE(2026,9,4)),"■","")</x:f>
        <x:v>■</x:v>
      </x:c>
      <x:c r="AB7" s="108" t="str">
        <x:f>IF(AND(AB$4&gt;=DATE(2026,8,17),AB$4&lt;=DATE(2026,9,4)),"■","")</x:f>
        <x:v>■</x:v>
      </x:c>
      <x:c r="AC7" s="108" t="str">
        <x:f>IF(AND(AC$4&gt;=DATE(2026,8,17),AC$4&lt;=DATE(2026,9,4)),"■","")</x:f>
        <x:v>■</x:v>
      </x:c>
      <x:c r="AD7" s="126" t="str">
        <x:f>IF(AND(AD$4&gt;=DATE(2026,8,17),AD$4&lt;=DATE(2026,9,4)),"■","")</x:f>
      </x:c>
      <x:c r="AE7" s="126" t="str">
        <x:f>IF(AND(AE$4&gt;=DATE(2026,8,17),AE$4&lt;=DATE(2026,9,4)),"■","")</x:f>
      </x:c>
      <x:c r="AF7" s="108" t="str">
        <x:f>IF(AND(AF$4&gt;=DATE(2026,8,17),AF$4&lt;=DATE(2026,9,4)),"■","")</x:f>
      </x:c>
      <x:c r="AG7" s="108" t="str">
        <x:f>IF(AND(AG$4&gt;=DATE(2026,8,17),AG$4&lt;=DATE(2026,9,4)),"■","")</x:f>
      </x:c>
      <x:c r="AH7" s="108" t="str">
        <x:f>IF(AND(AH$4&gt;=DATE(2026,8,17),AH$4&lt;=DATE(2026,9,4)),"■","")</x:f>
      </x:c>
      <x:c r="AI7" s="108" t="str">
        <x:f>IF(AND(AI$4&gt;=DATE(2026,8,17),AI$4&lt;=DATE(2026,9,4)),"■","")</x:f>
      </x:c>
      <x:c r="AJ7" s="108" t="str">
        <x:f>IF(AND(AJ$4&gt;=DATE(2026,8,17),AJ$4&lt;=DATE(2026,9,4)),"■","")</x:f>
      </x:c>
      <x:c r="AK7" s="126" t="str">
        <x:f>IF(AND(AK$4&gt;=DATE(2026,8,17),AK$4&lt;=DATE(2026,9,4)),"■","")</x:f>
      </x:c>
      <x:c r="AL7" s="126" t="str">
        <x:f>IF(AND(AL$4&gt;=DATE(2026,8,17),AL$4&lt;=DATE(2026,9,4)),"■","")</x:f>
      </x:c>
      <x:c r="AM7" s="108" t="str">
        <x:f>IF(AND(AM$4&gt;=DATE(2026,8,17),AM$4&lt;=DATE(2026,9,4)),"■","")</x:f>
      </x:c>
      <x:c r="AN7" s="108" t="str">
        <x:f>IF(AND(AN$4&gt;=DATE(2026,8,17),AN$4&lt;=DATE(2026,9,4)),"■","")</x:f>
      </x:c>
    </x:row>
    <x:row r="8" ht="24" customHeight="1">
      <x:c r="A8" s="110" t="str">
        <x:v>內容</x:v>
      </x:c>
      <x:c r="B8" s="98" t="str">
        <x:v>中英文文字、圖片與附件準備</x:v>
      </x:c>
      <x:c r="C8" s="98" t="str">
        <x:v>完成網站上架資料</x:v>
      </x:c>
      <x:c r="D8" s="111" t="str">
        <x:f>IF(AND(D$4&gt;=DATE(2026,8,10),D$4&lt;=DATE(2026,8,28)),"■","")</x:f>
        <x:v>■</x:v>
      </x:c>
      <x:c r="E8" s="111" t="str">
        <x:f>IF(AND(E$4&gt;=DATE(2026,8,10),E$4&lt;=DATE(2026,8,28)),"■","")</x:f>
        <x:v>■</x:v>
      </x:c>
      <x:c r="F8" s="111" t="str">
        <x:f>IF(AND(F$4&gt;=DATE(2026,8,10),F$4&lt;=DATE(2026,8,28)),"■","")</x:f>
        <x:v>■</x:v>
      </x:c>
      <x:c r="G8" s="111" t="str">
        <x:f>IF(AND(G$4&gt;=DATE(2026,8,10),G$4&lt;=DATE(2026,8,28)),"■","")</x:f>
        <x:v>■</x:v>
      </x:c>
      <x:c r="H8" s="111" t="str">
        <x:f>IF(AND(H$4&gt;=DATE(2026,8,10),H$4&lt;=DATE(2026,8,28)),"■","")</x:f>
        <x:v>■</x:v>
      </x:c>
      <x:c r="I8" s="127" t="str">
        <x:f>IF(AND(I$4&gt;=DATE(2026,8,10),I$4&lt;=DATE(2026,8,28)),"■","")</x:f>
        <x:v>■</x:v>
      </x:c>
      <x:c r="J8" s="127" t="str">
        <x:f>IF(AND(J$4&gt;=DATE(2026,8,10),J$4&lt;=DATE(2026,8,28)),"■","")</x:f>
        <x:v>■</x:v>
      </x:c>
      <x:c r="K8" s="111" t="str">
        <x:f>IF(AND(K$4&gt;=DATE(2026,8,10),K$4&lt;=DATE(2026,8,28)),"■","")</x:f>
        <x:v>■</x:v>
      </x:c>
      <x:c r="L8" s="111" t="str">
        <x:f>IF(AND(L$4&gt;=DATE(2026,8,10),L$4&lt;=DATE(2026,8,28)),"■","")</x:f>
        <x:v>■</x:v>
      </x:c>
      <x:c r="M8" s="111" t="str">
        <x:f>IF(AND(M$4&gt;=DATE(2026,8,10),M$4&lt;=DATE(2026,8,28)),"■","")</x:f>
        <x:v>■</x:v>
      </x:c>
      <x:c r="N8" s="111" t="str">
        <x:f>IF(AND(N$4&gt;=DATE(2026,8,10),N$4&lt;=DATE(2026,8,28)),"■","")</x:f>
        <x:v>■</x:v>
      </x:c>
      <x:c r="O8" s="111" t="str">
        <x:f>IF(AND(O$4&gt;=DATE(2026,8,10),O$4&lt;=DATE(2026,8,28)),"■","")</x:f>
        <x:v>■</x:v>
      </x:c>
      <x:c r="P8" s="127" t="str">
        <x:f>IF(AND(P$4&gt;=DATE(2026,8,10),P$4&lt;=DATE(2026,8,28)),"■","")</x:f>
        <x:v>■</x:v>
      </x:c>
      <x:c r="Q8" s="127" t="str">
        <x:f>IF(AND(Q$4&gt;=DATE(2026,8,10),Q$4&lt;=DATE(2026,8,28)),"■","")</x:f>
        <x:v>■</x:v>
      </x:c>
      <x:c r="R8" s="111" t="str">
        <x:f>IF(AND(R$4&gt;=DATE(2026,8,10),R$4&lt;=DATE(2026,8,28)),"■","")</x:f>
        <x:v>■</x:v>
      </x:c>
      <x:c r="S8" s="111" t="str">
        <x:f>IF(AND(S$4&gt;=DATE(2026,8,10),S$4&lt;=DATE(2026,8,28)),"■","")</x:f>
        <x:v>■</x:v>
      </x:c>
      <x:c r="T8" s="111" t="str">
        <x:f>IF(AND(T$4&gt;=DATE(2026,8,10),T$4&lt;=DATE(2026,8,28)),"■","")</x:f>
        <x:v>■</x:v>
      </x:c>
      <x:c r="U8" s="111" t="str">
        <x:f>IF(AND(U$4&gt;=DATE(2026,8,10),U$4&lt;=DATE(2026,8,28)),"■","")</x:f>
        <x:v>■</x:v>
      </x:c>
      <x:c r="V8" s="111" t="str">
        <x:f>IF(AND(V$4&gt;=DATE(2026,8,10),V$4&lt;=DATE(2026,8,28)),"■","")</x:f>
        <x:v>■</x:v>
      </x:c>
      <x:c r="W8" s="127" t="str">
        <x:f>IF(AND(W$4&gt;=DATE(2026,8,10),W$4&lt;=DATE(2026,8,28)),"■","")</x:f>
      </x:c>
      <x:c r="X8" s="127" t="str">
        <x:f>IF(AND(X$4&gt;=DATE(2026,8,10),X$4&lt;=DATE(2026,8,28)),"■","")</x:f>
      </x:c>
      <x:c r="Y8" s="111" t="str">
        <x:f>IF(AND(Y$4&gt;=DATE(2026,8,10),Y$4&lt;=DATE(2026,8,28)),"■","")</x:f>
      </x:c>
      <x:c r="Z8" s="111" t="str">
        <x:f>IF(AND(Z$4&gt;=DATE(2026,8,10),Z$4&lt;=DATE(2026,8,28)),"■","")</x:f>
      </x:c>
      <x:c r="AA8" s="111" t="str">
        <x:f>IF(AND(AA$4&gt;=DATE(2026,8,10),AA$4&lt;=DATE(2026,8,28)),"■","")</x:f>
      </x:c>
      <x:c r="AB8" s="111" t="str">
        <x:f>IF(AND(AB$4&gt;=DATE(2026,8,10),AB$4&lt;=DATE(2026,8,28)),"■","")</x:f>
      </x:c>
      <x:c r="AC8" s="111" t="str">
        <x:f>IF(AND(AC$4&gt;=DATE(2026,8,10),AC$4&lt;=DATE(2026,8,28)),"■","")</x:f>
      </x:c>
      <x:c r="AD8" s="127" t="str">
        <x:f>IF(AND(AD$4&gt;=DATE(2026,8,10),AD$4&lt;=DATE(2026,8,28)),"■","")</x:f>
      </x:c>
      <x:c r="AE8" s="127" t="str">
        <x:f>IF(AND(AE$4&gt;=DATE(2026,8,10),AE$4&lt;=DATE(2026,8,28)),"■","")</x:f>
      </x:c>
      <x:c r="AF8" s="111" t="str">
        <x:f>IF(AND(AF$4&gt;=DATE(2026,8,10),AF$4&lt;=DATE(2026,8,28)),"■","")</x:f>
      </x:c>
      <x:c r="AG8" s="111" t="str">
        <x:f>IF(AND(AG$4&gt;=DATE(2026,8,10),AG$4&lt;=DATE(2026,8,28)),"■","")</x:f>
      </x:c>
      <x:c r="AH8" s="111" t="str">
        <x:f>IF(AND(AH$4&gt;=DATE(2026,8,10),AH$4&lt;=DATE(2026,8,28)),"■","")</x:f>
      </x:c>
      <x:c r="AI8" s="111" t="str">
        <x:f>IF(AND(AI$4&gt;=DATE(2026,8,10),AI$4&lt;=DATE(2026,8,28)),"■","")</x:f>
      </x:c>
      <x:c r="AJ8" s="111" t="str">
        <x:f>IF(AND(AJ$4&gt;=DATE(2026,8,10),AJ$4&lt;=DATE(2026,8,28)),"■","")</x:f>
      </x:c>
      <x:c r="AK8" s="127" t="str">
        <x:f>IF(AND(AK$4&gt;=DATE(2026,8,10),AK$4&lt;=DATE(2026,8,28)),"■","")</x:f>
      </x:c>
      <x:c r="AL8" s="127" t="str">
        <x:f>IF(AND(AL$4&gt;=DATE(2026,8,10),AL$4&lt;=DATE(2026,8,28)),"■","")</x:f>
      </x:c>
      <x:c r="AM8" s="111" t="str">
        <x:f>IF(AND(AM$4&gt;=DATE(2026,8,10),AM$4&lt;=DATE(2026,8,28)),"■","")</x:f>
      </x:c>
      <x:c r="AN8" s="111" t="str">
        <x:f>IF(AND(AN$4&gt;=DATE(2026,8,10),AN$4&lt;=DATE(2026,8,28)),"■","")</x:f>
      </x:c>
    </x:row>
    <x:row r="9" ht="24" customHeight="1">
      <x:c r="A9" s="113" t="str">
        <x:v>上架</x:v>
      </x:c>
      <x:c r="B9" s="98" t="str">
        <x:v>中文內容上架與連結整理</x:v>
      </x:c>
      <x:c r="C9" s="98" t="str">
        <x:v>完成中文版內容</x:v>
      </x:c>
      <x:c r="D9" s="114" t="str">
        <x:f>IF(AND(D$4&gt;=DATE(2026,8,31),D$4&lt;=DATE(2026,9,4)),"■","")</x:f>
      </x:c>
      <x:c r="E9" s="114" t="str">
        <x:f>IF(AND(E$4&gt;=DATE(2026,8,31),E$4&lt;=DATE(2026,9,4)),"■","")</x:f>
      </x:c>
      <x:c r="F9" s="114" t="str">
        <x:f>IF(AND(F$4&gt;=DATE(2026,8,31),F$4&lt;=DATE(2026,9,4)),"■","")</x:f>
      </x:c>
      <x:c r="G9" s="114" t="str">
        <x:f>IF(AND(G$4&gt;=DATE(2026,8,31),G$4&lt;=DATE(2026,9,4)),"■","")</x:f>
      </x:c>
      <x:c r="H9" s="114" t="str">
        <x:f>IF(AND(H$4&gt;=DATE(2026,8,31),H$4&lt;=DATE(2026,9,4)),"■","")</x:f>
      </x:c>
      <x:c r="I9" s="128" t="str">
        <x:f>IF(AND(I$4&gt;=DATE(2026,8,31),I$4&lt;=DATE(2026,9,4)),"■","")</x:f>
      </x:c>
      <x:c r="J9" s="128" t="str">
        <x:f>IF(AND(J$4&gt;=DATE(2026,8,31),J$4&lt;=DATE(2026,9,4)),"■","")</x:f>
      </x:c>
      <x:c r="K9" s="114" t="str">
        <x:f>IF(AND(K$4&gt;=DATE(2026,8,31),K$4&lt;=DATE(2026,9,4)),"■","")</x:f>
      </x:c>
      <x:c r="L9" s="114" t="str">
        <x:f>IF(AND(L$4&gt;=DATE(2026,8,31),L$4&lt;=DATE(2026,9,4)),"■","")</x:f>
      </x:c>
      <x:c r="M9" s="114" t="str">
        <x:f>IF(AND(M$4&gt;=DATE(2026,8,31),M$4&lt;=DATE(2026,9,4)),"■","")</x:f>
      </x:c>
      <x:c r="N9" s="114" t="str">
        <x:f>IF(AND(N$4&gt;=DATE(2026,8,31),N$4&lt;=DATE(2026,9,4)),"■","")</x:f>
      </x:c>
      <x:c r="O9" s="114" t="str">
        <x:f>IF(AND(O$4&gt;=DATE(2026,8,31),O$4&lt;=DATE(2026,9,4)),"■","")</x:f>
      </x:c>
      <x:c r="P9" s="128" t="str">
        <x:f>IF(AND(P$4&gt;=DATE(2026,8,31),P$4&lt;=DATE(2026,9,4)),"■","")</x:f>
      </x:c>
      <x:c r="Q9" s="128" t="str">
        <x:f>IF(AND(Q$4&gt;=DATE(2026,8,31),Q$4&lt;=DATE(2026,9,4)),"■","")</x:f>
      </x:c>
      <x:c r="R9" s="114" t="str">
        <x:f>IF(AND(R$4&gt;=DATE(2026,8,31),R$4&lt;=DATE(2026,9,4)),"■","")</x:f>
      </x:c>
      <x:c r="S9" s="114" t="str">
        <x:f>IF(AND(S$4&gt;=DATE(2026,8,31),S$4&lt;=DATE(2026,9,4)),"■","")</x:f>
      </x:c>
      <x:c r="T9" s="114" t="str">
        <x:f>IF(AND(T$4&gt;=DATE(2026,8,31),T$4&lt;=DATE(2026,9,4)),"■","")</x:f>
      </x:c>
      <x:c r="U9" s="114" t="str">
        <x:f>IF(AND(U$4&gt;=DATE(2026,8,31),U$4&lt;=DATE(2026,9,4)),"■","")</x:f>
      </x:c>
      <x:c r="V9" s="114" t="str">
        <x:f>IF(AND(V$4&gt;=DATE(2026,8,31),V$4&lt;=DATE(2026,9,4)),"■","")</x:f>
      </x:c>
      <x:c r="W9" s="128" t="str">
        <x:f>IF(AND(W$4&gt;=DATE(2026,8,31),W$4&lt;=DATE(2026,9,4)),"■","")</x:f>
      </x:c>
      <x:c r="X9" s="128" t="str">
        <x:f>IF(AND(X$4&gt;=DATE(2026,8,31),X$4&lt;=DATE(2026,9,4)),"■","")</x:f>
      </x:c>
      <x:c r="Y9" s="114" t="str">
        <x:f>IF(AND(Y$4&gt;=DATE(2026,8,31),Y$4&lt;=DATE(2026,9,4)),"■","")</x:f>
        <x:v>■</x:v>
      </x:c>
      <x:c r="Z9" s="114" t="str">
        <x:f>IF(AND(Z$4&gt;=DATE(2026,8,31),Z$4&lt;=DATE(2026,9,4)),"■","")</x:f>
        <x:v>■</x:v>
      </x:c>
      <x:c r="AA9" s="114" t="str">
        <x:f>IF(AND(AA$4&gt;=DATE(2026,8,31),AA$4&lt;=DATE(2026,9,4)),"■","")</x:f>
        <x:v>■</x:v>
      </x:c>
      <x:c r="AB9" s="114" t="str">
        <x:f>IF(AND(AB$4&gt;=DATE(2026,8,31),AB$4&lt;=DATE(2026,9,4)),"■","")</x:f>
        <x:v>■</x:v>
      </x:c>
      <x:c r="AC9" s="114" t="str">
        <x:f>IF(AND(AC$4&gt;=DATE(2026,8,31),AC$4&lt;=DATE(2026,9,4)),"■","")</x:f>
        <x:v>■</x:v>
      </x:c>
      <x:c r="AD9" s="128" t="str">
        <x:f>IF(AND(AD$4&gt;=DATE(2026,8,31),AD$4&lt;=DATE(2026,9,4)),"■","")</x:f>
      </x:c>
      <x:c r="AE9" s="128" t="str">
        <x:f>IF(AND(AE$4&gt;=DATE(2026,8,31),AE$4&lt;=DATE(2026,9,4)),"■","")</x:f>
      </x:c>
      <x:c r="AF9" s="114" t="str">
        <x:f>IF(AND(AF$4&gt;=DATE(2026,8,31),AF$4&lt;=DATE(2026,9,4)),"■","")</x:f>
      </x:c>
      <x:c r="AG9" s="114" t="str">
        <x:f>IF(AND(AG$4&gt;=DATE(2026,8,31),AG$4&lt;=DATE(2026,9,4)),"■","")</x:f>
      </x:c>
      <x:c r="AH9" s="114" t="str">
        <x:f>IF(AND(AH$4&gt;=DATE(2026,8,31),AH$4&lt;=DATE(2026,9,4)),"■","")</x:f>
      </x:c>
      <x:c r="AI9" s="114" t="str">
        <x:f>IF(AND(AI$4&gt;=DATE(2026,8,31),AI$4&lt;=DATE(2026,9,4)),"■","")</x:f>
      </x:c>
      <x:c r="AJ9" s="114" t="str">
        <x:f>IF(AND(AJ$4&gt;=DATE(2026,8,31),AJ$4&lt;=DATE(2026,9,4)),"■","")</x:f>
      </x:c>
      <x:c r="AK9" s="128" t="str">
        <x:f>IF(AND(AK$4&gt;=DATE(2026,8,31),AK$4&lt;=DATE(2026,9,4)),"■","")</x:f>
      </x:c>
      <x:c r="AL9" s="128" t="str">
        <x:f>IF(AND(AL$4&gt;=DATE(2026,8,31),AL$4&lt;=DATE(2026,9,4)),"■","")</x:f>
      </x:c>
      <x:c r="AM9" s="114" t="str">
        <x:f>IF(AND(AM$4&gt;=DATE(2026,8,31),AM$4&lt;=DATE(2026,9,4)),"■","")</x:f>
      </x:c>
      <x:c r="AN9" s="114" t="str">
        <x:f>IF(AND(AN$4&gt;=DATE(2026,8,31),AN$4&lt;=DATE(2026,9,4)),"■","")</x:f>
      </x:c>
    </x:row>
    <x:row r="10" ht="24" customHeight="1">
      <x:c r="A10" s="113" t="str">
        <x:v>上架</x:v>
      </x:c>
      <x:c r="B10" s="98" t="str">
        <x:v>英文內容上架</x:v>
      </x:c>
      <x:c r="C10" s="98" t="str">
        <x:v>完成英文版內容</x:v>
      </x:c>
      <x:c r="D10" s="114" t="str">
        <x:f>IF(AND(D$4&gt;=DATE(2026,9,7),D$4&lt;=DATE(2026,9,9)),"■","")</x:f>
      </x:c>
      <x:c r="E10" s="114" t="str">
        <x:f>IF(AND(E$4&gt;=DATE(2026,9,7),E$4&lt;=DATE(2026,9,9)),"■","")</x:f>
      </x:c>
      <x:c r="F10" s="114" t="str">
        <x:f>IF(AND(F$4&gt;=DATE(2026,9,7),F$4&lt;=DATE(2026,9,9)),"■","")</x:f>
      </x:c>
      <x:c r="G10" s="114" t="str">
        <x:f>IF(AND(G$4&gt;=DATE(2026,9,7),G$4&lt;=DATE(2026,9,9)),"■","")</x:f>
      </x:c>
      <x:c r="H10" s="114" t="str">
        <x:f>IF(AND(H$4&gt;=DATE(2026,9,7),H$4&lt;=DATE(2026,9,9)),"■","")</x:f>
      </x:c>
      <x:c r="I10" s="128" t="str">
        <x:f>IF(AND(I$4&gt;=DATE(2026,9,7),I$4&lt;=DATE(2026,9,9)),"■","")</x:f>
      </x:c>
      <x:c r="J10" s="128" t="str">
        <x:f>IF(AND(J$4&gt;=DATE(2026,9,7),J$4&lt;=DATE(2026,9,9)),"■","")</x:f>
      </x:c>
      <x:c r="K10" s="114" t="str">
        <x:f>IF(AND(K$4&gt;=DATE(2026,9,7),K$4&lt;=DATE(2026,9,9)),"■","")</x:f>
      </x:c>
      <x:c r="L10" s="114" t="str">
        <x:f>IF(AND(L$4&gt;=DATE(2026,9,7),L$4&lt;=DATE(2026,9,9)),"■","")</x:f>
      </x:c>
      <x:c r="M10" s="114" t="str">
        <x:f>IF(AND(M$4&gt;=DATE(2026,9,7),M$4&lt;=DATE(2026,9,9)),"■","")</x:f>
      </x:c>
      <x:c r="N10" s="114" t="str">
        <x:f>IF(AND(N$4&gt;=DATE(2026,9,7),N$4&lt;=DATE(2026,9,9)),"■","")</x:f>
      </x:c>
      <x:c r="O10" s="114" t="str">
        <x:f>IF(AND(O$4&gt;=DATE(2026,9,7),O$4&lt;=DATE(2026,9,9)),"■","")</x:f>
      </x:c>
      <x:c r="P10" s="128" t="str">
        <x:f>IF(AND(P$4&gt;=DATE(2026,9,7),P$4&lt;=DATE(2026,9,9)),"■","")</x:f>
      </x:c>
      <x:c r="Q10" s="128" t="str">
        <x:f>IF(AND(Q$4&gt;=DATE(2026,9,7),Q$4&lt;=DATE(2026,9,9)),"■","")</x:f>
      </x:c>
      <x:c r="R10" s="114" t="str">
        <x:f>IF(AND(R$4&gt;=DATE(2026,9,7),R$4&lt;=DATE(2026,9,9)),"■","")</x:f>
      </x:c>
      <x:c r="S10" s="114" t="str">
        <x:f>IF(AND(S$4&gt;=DATE(2026,9,7),S$4&lt;=DATE(2026,9,9)),"■","")</x:f>
      </x:c>
      <x:c r="T10" s="114" t="str">
        <x:f>IF(AND(T$4&gt;=DATE(2026,9,7),T$4&lt;=DATE(2026,9,9)),"■","")</x:f>
      </x:c>
      <x:c r="U10" s="114" t="str">
        <x:f>IF(AND(U$4&gt;=DATE(2026,9,7),U$4&lt;=DATE(2026,9,9)),"■","")</x:f>
      </x:c>
      <x:c r="V10" s="114" t="str">
        <x:f>IF(AND(V$4&gt;=DATE(2026,9,7),V$4&lt;=DATE(2026,9,9)),"■","")</x:f>
      </x:c>
      <x:c r="W10" s="128" t="str">
        <x:f>IF(AND(W$4&gt;=DATE(2026,9,7),W$4&lt;=DATE(2026,9,9)),"■","")</x:f>
      </x:c>
      <x:c r="X10" s="128" t="str">
        <x:f>IF(AND(X$4&gt;=DATE(2026,9,7),X$4&lt;=DATE(2026,9,9)),"■","")</x:f>
      </x:c>
      <x:c r="Y10" s="114" t="str">
        <x:f>IF(AND(Y$4&gt;=DATE(2026,9,7),Y$4&lt;=DATE(2026,9,9)),"■","")</x:f>
      </x:c>
      <x:c r="Z10" s="114" t="str">
        <x:f>IF(AND(Z$4&gt;=DATE(2026,9,7),Z$4&lt;=DATE(2026,9,9)),"■","")</x:f>
      </x:c>
      <x:c r="AA10" s="114" t="str">
        <x:f>IF(AND(AA$4&gt;=DATE(2026,9,7),AA$4&lt;=DATE(2026,9,9)),"■","")</x:f>
      </x:c>
      <x:c r="AB10" s="114" t="str">
        <x:f>IF(AND(AB$4&gt;=DATE(2026,9,7),AB$4&lt;=DATE(2026,9,9)),"■","")</x:f>
      </x:c>
      <x:c r="AC10" s="114" t="str">
        <x:f>IF(AND(AC$4&gt;=DATE(2026,9,7),AC$4&lt;=DATE(2026,9,9)),"■","")</x:f>
      </x:c>
      <x:c r="AD10" s="128" t="str">
        <x:f>IF(AND(AD$4&gt;=DATE(2026,9,7),AD$4&lt;=DATE(2026,9,9)),"■","")</x:f>
      </x:c>
      <x:c r="AE10" s="128" t="str">
        <x:f>IF(AND(AE$4&gt;=DATE(2026,9,7),AE$4&lt;=DATE(2026,9,9)),"■","")</x:f>
      </x:c>
      <x:c r="AF10" s="114" t="str">
        <x:f>IF(AND(AF$4&gt;=DATE(2026,9,7),AF$4&lt;=DATE(2026,9,9)),"■","")</x:f>
        <x:v>■</x:v>
      </x:c>
      <x:c r="AG10" s="114" t="str">
        <x:f>IF(AND(AG$4&gt;=DATE(2026,9,7),AG$4&lt;=DATE(2026,9,9)),"■","")</x:f>
        <x:v>■</x:v>
      </x:c>
      <x:c r="AH10" s="114" t="str">
        <x:f>IF(AND(AH$4&gt;=DATE(2026,9,7),AH$4&lt;=DATE(2026,9,9)),"■","")</x:f>
        <x:v>■</x:v>
      </x:c>
      <x:c r="AI10" s="114" t="str">
        <x:f>IF(AND(AI$4&gt;=DATE(2026,9,7),AI$4&lt;=DATE(2026,9,9)),"■","")</x:f>
      </x:c>
      <x:c r="AJ10" s="114" t="str">
        <x:f>IF(AND(AJ$4&gt;=DATE(2026,9,7),AJ$4&lt;=DATE(2026,9,9)),"■","")</x:f>
      </x:c>
      <x:c r="AK10" s="128" t="str">
        <x:f>IF(AND(AK$4&gt;=DATE(2026,9,7),AK$4&lt;=DATE(2026,9,9)),"■","")</x:f>
      </x:c>
      <x:c r="AL10" s="128" t="str">
        <x:f>IF(AND(AL$4&gt;=DATE(2026,9,7),AL$4&lt;=DATE(2026,9,9)),"■","")</x:f>
      </x:c>
      <x:c r="AM10" s="114" t="str">
        <x:f>IF(AND(AM$4&gt;=DATE(2026,9,7),AM$4&lt;=DATE(2026,9,9)),"■","")</x:f>
      </x:c>
      <x:c r="AN10" s="114" t="str">
        <x:f>IF(AND(AN$4&gt;=DATE(2026,9,7),AN$4&lt;=DATE(2026,9,9)),"■","")</x:f>
      </x:c>
    </x:row>
    <x:row r="11" ht="24" customHeight="1">
      <x:c r="A11" s="116" t="str">
        <x:v>測試</x:v>
      </x:c>
      <x:c r="B11" s="98" t="str">
        <x:v>網站功能與多裝置測試</x:v>
      </x:c>
      <x:c r="C11" s="98" t="str">
        <x:v>完成雙語、表單、桌機與手機測試</x:v>
      </x:c>
      <x:c r="D11" s="117" t="str">
        <x:f>IF(AND(D$4&gt;=DATE(2026,9,7),D$4&lt;=DATE(2026,9,9)),"■","")</x:f>
      </x:c>
      <x:c r="E11" s="117" t="str">
        <x:f>IF(AND(E$4&gt;=DATE(2026,9,7),E$4&lt;=DATE(2026,9,9)),"■","")</x:f>
      </x:c>
      <x:c r="F11" s="117" t="str">
        <x:f>IF(AND(F$4&gt;=DATE(2026,9,7),F$4&lt;=DATE(2026,9,9)),"■","")</x:f>
      </x:c>
      <x:c r="G11" s="117" t="str">
        <x:f>IF(AND(G$4&gt;=DATE(2026,9,7),G$4&lt;=DATE(2026,9,9)),"■","")</x:f>
      </x:c>
      <x:c r="H11" s="117" t="str">
        <x:f>IF(AND(H$4&gt;=DATE(2026,9,7),H$4&lt;=DATE(2026,9,9)),"■","")</x:f>
      </x:c>
      <x:c r="I11" s="129" t="str">
        <x:f>IF(AND(I$4&gt;=DATE(2026,9,7),I$4&lt;=DATE(2026,9,9)),"■","")</x:f>
      </x:c>
      <x:c r="J11" s="129" t="str">
        <x:f>IF(AND(J$4&gt;=DATE(2026,9,7),J$4&lt;=DATE(2026,9,9)),"■","")</x:f>
      </x:c>
      <x:c r="K11" s="117" t="str">
        <x:f>IF(AND(K$4&gt;=DATE(2026,9,7),K$4&lt;=DATE(2026,9,9)),"■","")</x:f>
      </x:c>
      <x:c r="L11" s="117" t="str">
        <x:f>IF(AND(L$4&gt;=DATE(2026,9,7),L$4&lt;=DATE(2026,9,9)),"■","")</x:f>
      </x:c>
      <x:c r="M11" s="117" t="str">
        <x:f>IF(AND(M$4&gt;=DATE(2026,9,7),M$4&lt;=DATE(2026,9,9)),"■","")</x:f>
      </x:c>
      <x:c r="N11" s="117" t="str">
        <x:f>IF(AND(N$4&gt;=DATE(2026,9,7),N$4&lt;=DATE(2026,9,9)),"■","")</x:f>
      </x:c>
      <x:c r="O11" s="117" t="str">
        <x:f>IF(AND(O$4&gt;=DATE(2026,9,7),O$4&lt;=DATE(2026,9,9)),"■","")</x:f>
      </x:c>
      <x:c r="P11" s="129" t="str">
        <x:f>IF(AND(P$4&gt;=DATE(2026,9,7),P$4&lt;=DATE(2026,9,9)),"■","")</x:f>
      </x:c>
      <x:c r="Q11" s="129" t="str">
        <x:f>IF(AND(Q$4&gt;=DATE(2026,9,7),Q$4&lt;=DATE(2026,9,9)),"■","")</x:f>
      </x:c>
      <x:c r="R11" s="117" t="str">
        <x:f>IF(AND(R$4&gt;=DATE(2026,9,7),R$4&lt;=DATE(2026,9,9)),"■","")</x:f>
      </x:c>
      <x:c r="S11" s="117" t="str">
        <x:f>IF(AND(S$4&gt;=DATE(2026,9,7),S$4&lt;=DATE(2026,9,9)),"■","")</x:f>
      </x:c>
      <x:c r="T11" s="117" t="str">
        <x:f>IF(AND(T$4&gt;=DATE(2026,9,7),T$4&lt;=DATE(2026,9,9)),"■","")</x:f>
      </x:c>
      <x:c r="U11" s="117" t="str">
        <x:f>IF(AND(U$4&gt;=DATE(2026,9,7),U$4&lt;=DATE(2026,9,9)),"■","")</x:f>
      </x:c>
      <x:c r="V11" s="117" t="str">
        <x:f>IF(AND(V$4&gt;=DATE(2026,9,7),V$4&lt;=DATE(2026,9,9)),"■","")</x:f>
      </x:c>
      <x:c r="W11" s="129" t="str">
        <x:f>IF(AND(W$4&gt;=DATE(2026,9,7),W$4&lt;=DATE(2026,9,9)),"■","")</x:f>
      </x:c>
      <x:c r="X11" s="129" t="str">
        <x:f>IF(AND(X$4&gt;=DATE(2026,9,7),X$4&lt;=DATE(2026,9,9)),"■","")</x:f>
      </x:c>
      <x:c r="Y11" s="117" t="str">
        <x:f>IF(AND(Y$4&gt;=DATE(2026,9,7),Y$4&lt;=DATE(2026,9,9)),"■","")</x:f>
      </x:c>
      <x:c r="Z11" s="117" t="str">
        <x:f>IF(AND(Z$4&gt;=DATE(2026,9,7),Z$4&lt;=DATE(2026,9,9)),"■","")</x:f>
      </x:c>
      <x:c r="AA11" s="117" t="str">
        <x:f>IF(AND(AA$4&gt;=DATE(2026,9,7),AA$4&lt;=DATE(2026,9,9)),"■","")</x:f>
      </x:c>
      <x:c r="AB11" s="117" t="str">
        <x:f>IF(AND(AB$4&gt;=DATE(2026,9,7),AB$4&lt;=DATE(2026,9,9)),"■","")</x:f>
      </x:c>
      <x:c r="AC11" s="117" t="str">
        <x:f>IF(AND(AC$4&gt;=DATE(2026,9,7),AC$4&lt;=DATE(2026,9,9)),"■","")</x:f>
      </x:c>
      <x:c r="AD11" s="129" t="str">
        <x:f>IF(AND(AD$4&gt;=DATE(2026,9,7),AD$4&lt;=DATE(2026,9,9)),"■","")</x:f>
      </x:c>
      <x:c r="AE11" s="129" t="str">
        <x:f>IF(AND(AE$4&gt;=DATE(2026,9,7),AE$4&lt;=DATE(2026,9,9)),"■","")</x:f>
      </x:c>
      <x:c r="AF11" s="117" t="str">
        <x:f>IF(AND(AF$4&gt;=DATE(2026,9,7),AF$4&lt;=DATE(2026,9,9)),"■","")</x:f>
        <x:v>■</x:v>
      </x:c>
      <x:c r="AG11" s="117" t="str">
        <x:f>IF(AND(AG$4&gt;=DATE(2026,9,7),AG$4&lt;=DATE(2026,9,9)),"■","")</x:f>
        <x:v>■</x:v>
      </x:c>
      <x:c r="AH11" s="117" t="str">
        <x:f>IF(AND(AH$4&gt;=DATE(2026,9,7),AH$4&lt;=DATE(2026,9,9)),"■","")</x:f>
        <x:v>■</x:v>
      </x:c>
      <x:c r="AI11" s="117" t="str">
        <x:f>IF(AND(AI$4&gt;=DATE(2026,9,7),AI$4&lt;=DATE(2026,9,9)),"■","")</x:f>
      </x:c>
      <x:c r="AJ11" s="117" t="str">
        <x:f>IF(AND(AJ$4&gt;=DATE(2026,9,7),AJ$4&lt;=DATE(2026,9,9)),"■","")</x:f>
      </x:c>
      <x:c r="AK11" s="129" t="str">
        <x:f>IF(AND(AK$4&gt;=DATE(2026,9,7),AK$4&lt;=DATE(2026,9,9)),"■","")</x:f>
      </x:c>
      <x:c r="AL11" s="129" t="str">
        <x:f>IF(AND(AL$4&gt;=DATE(2026,9,7),AL$4&lt;=DATE(2026,9,9)),"■","")</x:f>
      </x:c>
      <x:c r="AM11" s="117" t="str">
        <x:f>IF(AND(AM$4&gt;=DATE(2026,9,7),AM$4&lt;=DATE(2026,9,9)),"■","")</x:f>
      </x:c>
      <x:c r="AN11" s="117" t="str">
        <x:f>IF(AND(AN$4&gt;=DATE(2026,9,7),AN$4&lt;=DATE(2026,9,9)),"■","")</x:f>
      </x:c>
    </x:row>
    <x:row r="12" ht="24" customHeight="1">
      <x:c r="A12" s="119" t="str">
        <x:v>確認</x:v>
      </x:c>
      <x:c r="B12" s="98" t="str">
        <x:v>全站確認與意見整合</x:v>
      </x:c>
      <x:c r="C12" s="98" t="str">
        <x:v>完成上線前確認</x:v>
      </x:c>
      <x:c r="D12" s="120" t="str">
        <x:f>IF(AND(D$4&gt;=DATE(2026,9,10),D$4&lt;=DATE(2026,9,11)),"■","")</x:f>
      </x:c>
      <x:c r="E12" s="120" t="str">
        <x:f>IF(AND(E$4&gt;=DATE(2026,9,10),E$4&lt;=DATE(2026,9,11)),"■","")</x:f>
      </x:c>
      <x:c r="F12" s="120" t="str">
        <x:f>IF(AND(F$4&gt;=DATE(2026,9,10),F$4&lt;=DATE(2026,9,11)),"■","")</x:f>
      </x:c>
      <x:c r="G12" s="120" t="str">
        <x:f>IF(AND(G$4&gt;=DATE(2026,9,10),G$4&lt;=DATE(2026,9,11)),"■","")</x:f>
      </x:c>
      <x:c r="H12" s="120" t="str">
        <x:f>IF(AND(H$4&gt;=DATE(2026,9,10),H$4&lt;=DATE(2026,9,11)),"■","")</x:f>
      </x:c>
      <x:c r="I12" s="130" t="str">
        <x:f>IF(AND(I$4&gt;=DATE(2026,9,10),I$4&lt;=DATE(2026,9,11)),"■","")</x:f>
      </x:c>
      <x:c r="J12" s="130" t="str">
        <x:f>IF(AND(J$4&gt;=DATE(2026,9,10),J$4&lt;=DATE(2026,9,11)),"■","")</x:f>
      </x:c>
      <x:c r="K12" s="120" t="str">
        <x:f>IF(AND(K$4&gt;=DATE(2026,9,10),K$4&lt;=DATE(2026,9,11)),"■","")</x:f>
      </x:c>
      <x:c r="L12" s="120" t="str">
        <x:f>IF(AND(L$4&gt;=DATE(2026,9,10),L$4&lt;=DATE(2026,9,11)),"■","")</x:f>
      </x:c>
      <x:c r="M12" s="120" t="str">
        <x:f>IF(AND(M$4&gt;=DATE(2026,9,10),M$4&lt;=DATE(2026,9,11)),"■","")</x:f>
      </x:c>
      <x:c r="N12" s="120" t="str">
        <x:f>IF(AND(N$4&gt;=DATE(2026,9,10),N$4&lt;=DATE(2026,9,11)),"■","")</x:f>
      </x:c>
      <x:c r="O12" s="120" t="str">
        <x:f>IF(AND(O$4&gt;=DATE(2026,9,10),O$4&lt;=DATE(2026,9,11)),"■","")</x:f>
      </x:c>
      <x:c r="P12" s="130" t="str">
        <x:f>IF(AND(P$4&gt;=DATE(2026,9,10),P$4&lt;=DATE(2026,9,11)),"■","")</x:f>
      </x:c>
      <x:c r="Q12" s="130" t="str">
        <x:f>IF(AND(Q$4&gt;=DATE(2026,9,10),Q$4&lt;=DATE(2026,9,11)),"■","")</x:f>
      </x:c>
      <x:c r="R12" s="120" t="str">
        <x:f>IF(AND(R$4&gt;=DATE(2026,9,10),R$4&lt;=DATE(2026,9,11)),"■","")</x:f>
      </x:c>
      <x:c r="S12" s="120" t="str">
        <x:f>IF(AND(S$4&gt;=DATE(2026,9,10),S$4&lt;=DATE(2026,9,11)),"■","")</x:f>
      </x:c>
      <x:c r="T12" s="120" t="str">
        <x:f>IF(AND(T$4&gt;=DATE(2026,9,10),T$4&lt;=DATE(2026,9,11)),"■","")</x:f>
      </x:c>
      <x:c r="U12" s="120" t="str">
        <x:f>IF(AND(U$4&gt;=DATE(2026,9,10),U$4&lt;=DATE(2026,9,11)),"■","")</x:f>
      </x:c>
      <x:c r="V12" s="120" t="str">
        <x:f>IF(AND(V$4&gt;=DATE(2026,9,10),V$4&lt;=DATE(2026,9,11)),"■","")</x:f>
      </x:c>
      <x:c r="W12" s="130" t="str">
        <x:f>IF(AND(W$4&gt;=DATE(2026,9,10),W$4&lt;=DATE(2026,9,11)),"■","")</x:f>
      </x:c>
      <x:c r="X12" s="130" t="str">
        <x:f>IF(AND(X$4&gt;=DATE(2026,9,10),X$4&lt;=DATE(2026,9,11)),"■","")</x:f>
      </x:c>
      <x:c r="Y12" s="120" t="str">
        <x:f>IF(AND(Y$4&gt;=DATE(2026,9,10),Y$4&lt;=DATE(2026,9,11)),"■","")</x:f>
      </x:c>
      <x:c r="Z12" s="120" t="str">
        <x:f>IF(AND(Z$4&gt;=DATE(2026,9,10),Z$4&lt;=DATE(2026,9,11)),"■","")</x:f>
      </x:c>
      <x:c r="AA12" s="120" t="str">
        <x:f>IF(AND(AA$4&gt;=DATE(2026,9,10),AA$4&lt;=DATE(2026,9,11)),"■","")</x:f>
      </x:c>
      <x:c r="AB12" s="120" t="str">
        <x:f>IF(AND(AB$4&gt;=DATE(2026,9,10),AB$4&lt;=DATE(2026,9,11)),"■","")</x:f>
      </x:c>
      <x:c r="AC12" s="120" t="str">
        <x:f>IF(AND(AC$4&gt;=DATE(2026,9,10),AC$4&lt;=DATE(2026,9,11)),"■","")</x:f>
      </x:c>
      <x:c r="AD12" s="130" t="str">
        <x:f>IF(AND(AD$4&gt;=DATE(2026,9,10),AD$4&lt;=DATE(2026,9,11)),"■","")</x:f>
      </x:c>
      <x:c r="AE12" s="130" t="str">
        <x:f>IF(AND(AE$4&gt;=DATE(2026,9,10),AE$4&lt;=DATE(2026,9,11)),"■","")</x:f>
      </x:c>
      <x:c r="AF12" s="120" t="str">
        <x:f>IF(AND(AF$4&gt;=DATE(2026,9,10),AF$4&lt;=DATE(2026,9,11)),"■","")</x:f>
      </x:c>
      <x:c r="AG12" s="120" t="str">
        <x:f>IF(AND(AG$4&gt;=DATE(2026,9,10),AG$4&lt;=DATE(2026,9,11)),"■","")</x:f>
      </x:c>
      <x:c r="AH12" s="120" t="str">
        <x:f>IF(AND(AH$4&gt;=DATE(2026,9,10),AH$4&lt;=DATE(2026,9,11)),"■","")</x:f>
      </x:c>
      <x:c r="AI12" s="120" t="str">
        <x:f>IF(AND(AI$4&gt;=DATE(2026,9,10),AI$4&lt;=DATE(2026,9,11)),"■","")</x:f>
        <x:v>■</x:v>
      </x:c>
      <x:c r="AJ12" s="120" t="str">
        <x:f>IF(AND(AJ$4&gt;=DATE(2026,9,10),AJ$4&lt;=DATE(2026,9,11)),"■","")</x:f>
        <x:v>■</x:v>
      </x:c>
      <x:c r="AK12" s="130" t="str">
        <x:f>IF(AND(AK$4&gt;=DATE(2026,9,10),AK$4&lt;=DATE(2026,9,11)),"■","")</x:f>
      </x:c>
      <x:c r="AL12" s="130" t="str">
        <x:f>IF(AND(AL$4&gt;=DATE(2026,9,10),AL$4&lt;=DATE(2026,9,11)),"■","")</x:f>
      </x:c>
      <x:c r="AM12" s="120" t="str">
        <x:f>IF(AND(AM$4&gt;=DATE(2026,9,10),AM$4&lt;=DATE(2026,9,11)),"■","")</x:f>
      </x:c>
      <x:c r="AN12" s="120" t="str">
        <x:f>IF(AND(AN$4&gt;=DATE(2026,9,10),AN$4&lt;=DATE(2026,9,11)),"■","")</x:f>
      </x:c>
    </x:row>
    <x:row r="13" ht="24" customHeight="1">
      <x:c r="A13" s="122" t="str">
        <x:v>上線</x:v>
      </x:c>
      <x:c r="B13" s="98" t="str">
        <x:v>最終修正與正式環境部署</x:v>
      </x:c>
      <x:c r="C13" s="98" t="str">
        <x:v>完成正式環境部署</x:v>
      </x:c>
      <x:c r="D13" s="123" t="str">
        <x:f>IF(AND(D$4&gt;=DATE(2026,9,14),D$4&lt;=DATE(2026,9,14)),"■","")</x:f>
      </x:c>
      <x:c r="E13" s="123" t="str">
        <x:f>IF(AND(E$4&gt;=DATE(2026,9,14),E$4&lt;=DATE(2026,9,14)),"■","")</x:f>
      </x:c>
      <x:c r="F13" s="123" t="str">
        <x:f>IF(AND(F$4&gt;=DATE(2026,9,14),F$4&lt;=DATE(2026,9,14)),"■","")</x:f>
      </x:c>
      <x:c r="G13" s="123" t="str">
        <x:f>IF(AND(G$4&gt;=DATE(2026,9,14),G$4&lt;=DATE(2026,9,14)),"■","")</x:f>
      </x:c>
      <x:c r="H13" s="123" t="str">
        <x:f>IF(AND(H$4&gt;=DATE(2026,9,14),H$4&lt;=DATE(2026,9,14)),"■","")</x:f>
      </x:c>
      <x:c r="I13" s="131" t="str">
        <x:f>IF(AND(I$4&gt;=DATE(2026,9,14),I$4&lt;=DATE(2026,9,14)),"■","")</x:f>
      </x:c>
      <x:c r="J13" s="131" t="str">
        <x:f>IF(AND(J$4&gt;=DATE(2026,9,14),J$4&lt;=DATE(2026,9,14)),"■","")</x:f>
      </x:c>
      <x:c r="K13" s="123" t="str">
        <x:f>IF(AND(K$4&gt;=DATE(2026,9,14),K$4&lt;=DATE(2026,9,14)),"■","")</x:f>
      </x:c>
      <x:c r="L13" s="123" t="str">
        <x:f>IF(AND(L$4&gt;=DATE(2026,9,14),L$4&lt;=DATE(2026,9,14)),"■","")</x:f>
      </x:c>
      <x:c r="M13" s="123" t="str">
        <x:f>IF(AND(M$4&gt;=DATE(2026,9,14),M$4&lt;=DATE(2026,9,14)),"■","")</x:f>
      </x:c>
      <x:c r="N13" s="123" t="str">
        <x:f>IF(AND(N$4&gt;=DATE(2026,9,14),N$4&lt;=DATE(2026,9,14)),"■","")</x:f>
      </x:c>
      <x:c r="O13" s="123" t="str">
        <x:f>IF(AND(O$4&gt;=DATE(2026,9,14),O$4&lt;=DATE(2026,9,14)),"■","")</x:f>
      </x:c>
      <x:c r="P13" s="131" t="str">
        <x:f>IF(AND(P$4&gt;=DATE(2026,9,14),P$4&lt;=DATE(2026,9,14)),"■","")</x:f>
      </x:c>
      <x:c r="Q13" s="131" t="str">
        <x:f>IF(AND(Q$4&gt;=DATE(2026,9,14),Q$4&lt;=DATE(2026,9,14)),"■","")</x:f>
      </x:c>
      <x:c r="R13" s="123" t="str">
        <x:f>IF(AND(R$4&gt;=DATE(2026,9,14),R$4&lt;=DATE(2026,9,14)),"■","")</x:f>
      </x:c>
      <x:c r="S13" s="123" t="str">
        <x:f>IF(AND(S$4&gt;=DATE(2026,9,14),S$4&lt;=DATE(2026,9,14)),"■","")</x:f>
      </x:c>
      <x:c r="T13" s="123" t="str">
        <x:f>IF(AND(T$4&gt;=DATE(2026,9,14),T$4&lt;=DATE(2026,9,14)),"■","")</x:f>
      </x:c>
      <x:c r="U13" s="123" t="str">
        <x:f>IF(AND(U$4&gt;=DATE(2026,9,14),U$4&lt;=DATE(2026,9,14)),"■","")</x:f>
      </x:c>
      <x:c r="V13" s="123" t="str">
        <x:f>IF(AND(V$4&gt;=DATE(2026,9,14),V$4&lt;=DATE(2026,9,14)),"■","")</x:f>
      </x:c>
      <x:c r="W13" s="131" t="str">
        <x:f>IF(AND(W$4&gt;=DATE(2026,9,14),W$4&lt;=DATE(2026,9,14)),"■","")</x:f>
      </x:c>
      <x:c r="X13" s="131" t="str">
        <x:f>IF(AND(X$4&gt;=DATE(2026,9,14),X$4&lt;=DATE(2026,9,14)),"■","")</x:f>
      </x:c>
      <x:c r="Y13" s="123" t="str">
        <x:f>IF(AND(Y$4&gt;=DATE(2026,9,14),Y$4&lt;=DATE(2026,9,14)),"■","")</x:f>
      </x:c>
      <x:c r="Z13" s="123" t="str">
        <x:f>IF(AND(Z$4&gt;=DATE(2026,9,14),Z$4&lt;=DATE(2026,9,14)),"■","")</x:f>
      </x:c>
      <x:c r="AA13" s="123" t="str">
        <x:f>IF(AND(AA$4&gt;=DATE(2026,9,14),AA$4&lt;=DATE(2026,9,14)),"■","")</x:f>
      </x:c>
      <x:c r="AB13" s="123" t="str">
        <x:f>IF(AND(AB$4&gt;=DATE(2026,9,14),AB$4&lt;=DATE(2026,9,14)),"■","")</x:f>
      </x:c>
      <x:c r="AC13" s="123" t="str">
        <x:f>IF(AND(AC$4&gt;=DATE(2026,9,14),AC$4&lt;=DATE(2026,9,14)),"■","")</x:f>
      </x:c>
      <x:c r="AD13" s="131" t="str">
        <x:f>IF(AND(AD$4&gt;=DATE(2026,9,14),AD$4&lt;=DATE(2026,9,14)),"■","")</x:f>
      </x:c>
      <x:c r="AE13" s="131" t="str">
        <x:f>IF(AND(AE$4&gt;=DATE(2026,9,14),AE$4&lt;=DATE(2026,9,14)),"■","")</x:f>
      </x:c>
      <x:c r="AF13" s="123" t="str">
        <x:f>IF(AND(AF$4&gt;=DATE(2026,9,14),AF$4&lt;=DATE(2026,9,14)),"■","")</x:f>
      </x:c>
      <x:c r="AG13" s="123" t="str">
        <x:f>IF(AND(AG$4&gt;=DATE(2026,9,14),AG$4&lt;=DATE(2026,9,14)),"■","")</x:f>
      </x:c>
      <x:c r="AH13" s="123" t="str">
        <x:f>IF(AND(AH$4&gt;=DATE(2026,9,14),AH$4&lt;=DATE(2026,9,14)),"■","")</x:f>
      </x:c>
      <x:c r="AI13" s="123" t="str">
        <x:f>IF(AND(AI$4&gt;=DATE(2026,9,14),AI$4&lt;=DATE(2026,9,14)),"■","")</x:f>
      </x:c>
      <x:c r="AJ13" s="123" t="str">
        <x:f>IF(AND(AJ$4&gt;=DATE(2026,9,14),AJ$4&lt;=DATE(2026,9,14)),"■","")</x:f>
      </x:c>
      <x:c r="AK13" s="131" t="str">
        <x:f>IF(AND(AK$4&gt;=DATE(2026,9,14),AK$4&lt;=DATE(2026,9,14)),"■","")</x:f>
      </x:c>
      <x:c r="AL13" s="131" t="str">
        <x:f>IF(AND(AL$4&gt;=DATE(2026,9,14),AL$4&lt;=DATE(2026,9,14)),"■","")</x:f>
      </x:c>
      <x:c r="AM13" s="123" t="str">
        <x:f>IF(AND(AM$4&gt;=DATE(2026,9,14),AM$4&lt;=DATE(2026,9,14)),"■","")</x:f>
        <x:v>■</x:v>
      </x:c>
      <x:c r="AN13" s="123" t="str">
        <x:f>IF(AND(AN$4&gt;=DATE(2026,9,14),AN$4&lt;=DATE(2026,9,14)),"■","")</x:f>
      </x:c>
    </x:row>
    <x:row r="14" ht="24" customHeight="1">
      <x:c r="A14" s="122" t="str">
        <x:v>上線</x:v>
      </x:c>
      <x:c r="B14" s="98" t="str">
        <x:v>網站正式上線</x:v>
      </x:c>
      <x:c r="C14" s="98" t="str">
        <x:v>2026-09-15 正式上線</x:v>
      </x:c>
      <x:c r="D14" s="123" t="str">
        <x:f>IF(AND(D$4&gt;=DATE(2026,9,15),D$4&lt;=DATE(2026,9,15)),"■","")</x:f>
      </x:c>
      <x:c r="E14" s="123" t="str">
        <x:f>IF(AND(E$4&gt;=DATE(2026,9,15),E$4&lt;=DATE(2026,9,15)),"■","")</x:f>
      </x:c>
      <x:c r="F14" s="123" t="str">
        <x:f>IF(AND(F$4&gt;=DATE(2026,9,15),F$4&lt;=DATE(2026,9,15)),"■","")</x:f>
      </x:c>
      <x:c r="G14" s="123" t="str">
        <x:f>IF(AND(G$4&gt;=DATE(2026,9,15),G$4&lt;=DATE(2026,9,15)),"■","")</x:f>
      </x:c>
      <x:c r="H14" s="123" t="str">
        <x:f>IF(AND(H$4&gt;=DATE(2026,9,15),H$4&lt;=DATE(2026,9,15)),"■","")</x:f>
      </x:c>
      <x:c r="I14" s="131" t="str">
        <x:f>IF(AND(I$4&gt;=DATE(2026,9,15),I$4&lt;=DATE(2026,9,15)),"■","")</x:f>
      </x:c>
      <x:c r="J14" s="131" t="str">
        <x:f>IF(AND(J$4&gt;=DATE(2026,9,15),J$4&lt;=DATE(2026,9,15)),"■","")</x:f>
      </x:c>
      <x:c r="K14" s="123" t="str">
        <x:f>IF(AND(K$4&gt;=DATE(2026,9,15),K$4&lt;=DATE(2026,9,15)),"■","")</x:f>
      </x:c>
      <x:c r="L14" s="123" t="str">
        <x:f>IF(AND(L$4&gt;=DATE(2026,9,15),L$4&lt;=DATE(2026,9,15)),"■","")</x:f>
      </x:c>
      <x:c r="M14" s="123" t="str">
        <x:f>IF(AND(M$4&gt;=DATE(2026,9,15),M$4&lt;=DATE(2026,9,15)),"■","")</x:f>
      </x:c>
      <x:c r="N14" s="123" t="str">
        <x:f>IF(AND(N$4&gt;=DATE(2026,9,15),N$4&lt;=DATE(2026,9,15)),"■","")</x:f>
      </x:c>
      <x:c r="O14" s="123" t="str">
        <x:f>IF(AND(O$4&gt;=DATE(2026,9,15),O$4&lt;=DATE(2026,9,15)),"■","")</x:f>
      </x:c>
      <x:c r="P14" s="131" t="str">
        <x:f>IF(AND(P$4&gt;=DATE(2026,9,15),P$4&lt;=DATE(2026,9,15)),"■","")</x:f>
      </x:c>
      <x:c r="Q14" s="131" t="str">
        <x:f>IF(AND(Q$4&gt;=DATE(2026,9,15),Q$4&lt;=DATE(2026,9,15)),"■","")</x:f>
      </x:c>
      <x:c r="R14" s="123" t="str">
        <x:f>IF(AND(R$4&gt;=DATE(2026,9,15),R$4&lt;=DATE(2026,9,15)),"■","")</x:f>
      </x:c>
      <x:c r="S14" s="123" t="str">
        <x:f>IF(AND(S$4&gt;=DATE(2026,9,15),S$4&lt;=DATE(2026,9,15)),"■","")</x:f>
      </x:c>
      <x:c r="T14" s="123" t="str">
        <x:f>IF(AND(T$4&gt;=DATE(2026,9,15),T$4&lt;=DATE(2026,9,15)),"■","")</x:f>
      </x:c>
      <x:c r="U14" s="123" t="str">
        <x:f>IF(AND(U$4&gt;=DATE(2026,9,15),U$4&lt;=DATE(2026,9,15)),"■","")</x:f>
      </x:c>
      <x:c r="V14" s="123" t="str">
        <x:f>IF(AND(V$4&gt;=DATE(2026,9,15),V$4&lt;=DATE(2026,9,15)),"■","")</x:f>
      </x:c>
      <x:c r="W14" s="131" t="str">
        <x:f>IF(AND(W$4&gt;=DATE(2026,9,15),W$4&lt;=DATE(2026,9,15)),"■","")</x:f>
      </x:c>
      <x:c r="X14" s="131" t="str">
        <x:f>IF(AND(X$4&gt;=DATE(2026,9,15),X$4&lt;=DATE(2026,9,15)),"■","")</x:f>
      </x:c>
      <x:c r="Y14" s="123" t="str">
        <x:f>IF(AND(Y$4&gt;=DATE(2026,9,15),Y$4&lt;=DATE(2026,9,15)),"■","")</x:f>
      </x:c>
      <x:c r="Z14" s="123" t="str">
        <x:f>IF(AND(Z$4&gt;=DATE(2026,9,15),Z$4&lt;=DATE(2026,9,15)),"■","")</x:f>
      </x:c>
      <x:c r="AA14" s="123" t="str">
        <x:f>IF(AND(AA$4&gt;=DATE(2026,9,15),AA$4&lt;=DATE(2026,9,15)),"■","")</x:f>
      </x:c>
      <x:c r="AB14" s="123" t="str">
        <x:f>IF(AND(AB$4&gt;=DATE(2026,9,15),AB$4&lt;=DATE(2026,9,15)),"■","")</x:f>
      </x:c>
      <x:c r="AC14" s="123" t="str">
        <x:f>IF(AND(AC$4&gt;=DATE(2026,9,15),AC$4&lt;=DATE(2026,9,15)),"■","")</x:f>
      </x:c>
      <x:c r="AD14" s="131" t="str">
        <x:f>IF(AND(AD$4&gt;=DATE(2026,9,15),AD$4&lt;=DATE(2026,9,15)),"■","")</x:f>
      </x:c>
      <x:c r="AE14" s="131" t="str">
        <x:f>IF(AND(AE$4&gt;=DATE(2026,9,15),AE$4&lt;=DATE(2026,9,15)),"■","")</x:f>
      </x:c>
      <x:c r="AF14" s="123" t="str">
        <x:f>IF(AND(AF$4&gt;=DATE(2026,9,15),AF$4&lt;=DATE(2026,9,15)),"■","")</x:f>
      </x:c>
      <x:c r="AG14" s="123" t="str">
        <x:f>IF(AND(AG$4&gt;=DATE(2026,9,15),AG$4&lt;=DATE(2026,9,15)),"■","")</x:f>
      </x:c>
      <x:c r="AH14" s="123" t="str">
        <x:f>IF(AND(AH$4&gt;=DATE(2026,9,15),AH$4&lt;=DATE(2026,9,15)),"■","")</x:f>
      </x:c>
      <x:c r="AI14" s="123" t="str">
        <x:f>IF(AND(AI$4&gt;=DATE(2026,9,15),AI$4&lt;=DATE(2026,9,15)),"■","")</x:f>
      </x:c>
      <x:c r="AJ14" s="123" t="str">
        <x:f>IF(AND(AJ$4&gt;=DATE(2026,9,15),AJ$4&lt;=DATE(2026,9,15)),"■","")</x:f>
      </x:c>
      <x:c r="AK14" s="131" t="str">
        <x:f>IF(AND(AK$4&gt;=DATE(2026,9,15),AK$4&lt;=DATE(2026,9,15)),"■","")</x:f>
      </x:c>
      <x:c r="AL14" s="131" t="str">
        <x:f>IF(AND(AL$4&gt;=DATE(2026,9,15),AL$4&lt;=DATE(2026,9,15)),"■","")</x:f>
      </x:c>
      <x:c r="AM14" s="123" t="str">
        <x:f>IF(AND(AM$4&gt;=DATE(2026,9,15),AM$4&lt;=DATE(2026,9,15)),"■","")</x:f>
      </x:c>
      <x:c r="AN14" s="123" t="str">
        <x:f>IF(AND(AN$4&gt;=DATE(2026,9,15),AN$4&lt;=DATE(2026,9,15)),"■","")</x:f>
        <x:v>■</x:v>
      </x:c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</x:row>
    <x:row r="16">
      <x:c r="A16" s="137" t="str">
        <x:v>重要節點：8/28 前完成中英文定稿、圖片及附件準備；9/10～9/11 完成全站確認與意見整合；9/15 正式上線。</x:v>
      </x:c>
      <x:c r="B16" s="138" t="str">
        <x:v>重要節點：8/28 前完成中英文定稿、圖片及附件準備；9/10～9/11 完成全站確認與意見整合；9/15 正式上線。</x:v>
      </x:c>
      <x:c r="C16" s="138" t="str">
        <x:v>重要節點：8/28 前完成中英文定稿、圖片及附件準備；9/10～9/11 完成全站確認與意見整合；9/15 正式上線。</x:v>
      </x:c>
      <x:c r="D16" s="138" t="str">
        <x:v>重要節點：8/28 前完成中英文定稿、圖片及附件準備；9/10～9/11 完成全站確認與意見整合；9/15 正式上線。</x:v>
      </x:c>
      <x:c r="E16" s="138" t="str">
        <x:v>重要節點：8/28 前完成中英文定稿、圖片及附件準備；9/10～9/11 完成全站確認與意見整合；9/15 正式上線。</x:v>
      </x:c>
      <x:c r="F16" s="138" t="str">
        <x:v>重要節點：8/28 前完成中英文定稿、圖片及附件準備；9/10～9/11 完成全站確認與意見整合；9/15 正式上線。</x:v>
      </x:c>
      <x:c r="G16" s="138" t="str">
        <x:v>重要節點：8/28 前完成中英文定稿、圖片及附件準備；9/10～9/11 完成全站確認與意見整合；9/15 正式上線。</x:v>
      </x:c>
      <x:c r="H16" s="138" t="str">
        <x:v>重要節點：8/28 前完成中英文定稿、圖片及附件準備；9/10～9/11 完成全站確認與意見整合；9/15 正式上線。</x:v>
      </x:c>
      <x:c r="I16" s="138" t="str">
        <x:v>重要節點：8/28 前完成中英文定稿、圖片及附件準備；9/10～9/11 完成全站確認與意見整合；9/15 正式上線。</x:v>
      </x:c>
      <x:c r="J16" s="138" t="str">
        <x:v>重要節點：8/28 前完成中英文定稿、圖片及附件準備；9/10～9/11 完成全站確認與意見整合；9/15 正式上線。</x:v>
      </x:c>
      <x:c r="K16" s="138" t="str">
        <x:v>重要節點：8/28 前完成中英文定稿、圖片及附件準備；9/10～9/11 完成全站確認與意見整合；9/15 正式上線。</x:v>
      </x:c>
      <x:c r="L16" s="138" t="str">
        <x:v>重要節點：8/28 前完成中英文定稿、圖片及附件準備；9/10～9/11 完成全站確認與意見整合；9/15 正式上線。</x:v>
      </x:c>
      <x:c r="M16" s="138" t="str">
        <x:v>重要節點：8/28 前完成中英文定稿、圖片及附件準備；9/10～9/11 完成全站確認與意見整合；9/15 正式上線。</x:v>
      </x:c>
      <x:c r="N16" s="138" t="str">
        <x:v>重要節點：8/28 前完成中英文定稿、圖片及附件準備；9/10～9/11 完成全站確認與意見整合；9/15 正式上線。</x:v>
      </x:c>
      <x:c r="O16" s="138" t="str">
        <x:v>重要節點：8/28 前完成中英文定稿、圖片及附件準備；9/10～9/11 完成全站確認與意見整合；9/15 正式上線。</x:v>
      </x:c>
      <x:c r="P16" s="138" t="str">
        <x:v>重要節點：8/28 前完成中英文定稿、圖片及附件準備；9/10～9/11 完成全站確認與意見整合；9/15 正式上線。</x:v>
      </x:c>
      <x:c r="Q16" s="138" t="str">
        <x:v>重要節點：8/28 前完成中英文定稿、圖片及附件準備；9/10～9/11 完成全站確認與意見整合；9/15 正式上線。</x:v>
      </x:c>
      <x:c r="R16" s="138" t="str">
        <x:v>重要節點：8/28 前完成中英文定稿、圖片及附件準備；9/10～9/11 完成全站確認與意見整合；9/15 正式上線。</x:v>
      </x:c>
      <x:c r="S16" s="138" t="str">
        <x:v>重要節點：8/28 前完成中英文定稿、圖片及附件準備；9/10～9/11 完成全站確認與意見整合；9/15 正式上線。</x:v>
      </x:c>
      <x:c r="T16" s="138" t="str">
        <x:v>重要節點：8/28 前完成中英文定稿、圖片及附件準備；9/10～9/11 完成全站確認與意見整合；9/15 正式上線。</x:v>
      </x:c>
      <x:c r="U16" s="138" t="str">
        <x:v>重要節點：8/28 前完成中英文定稿、圖片及附件準備；9/10～9/11 完成全站確認與意見整合；9/15 正式上線。</x:v>
      </x:c>
      <x:c r="V16" s="138" t="str">
        <x:v>重要節點：8/28 前完成中英文定稿、圖片及附件準備；9/10～9/11 完成全站確認與意見整合；9/15 正式上線。</x:v>
      </x:c>
      <x:c r="W16" s="138" t="str">
        <x:v>重要節點：8/28 前完成中英文定稿、圖片及附件準備；9/10～9/11 完成全站確認與意見整合；9/15 正式上線。</x:v>
      </x:c>
      <x:c r="X16" s="138" t="str">
        <x:v>重要節點：8/28 前完成中英文定稿、圖片及附件準備；9/10～9/11 完成全站確認與意見整合；9/15 正式上線。</x:v>
      </x:c>
      <x:c r="Y16" s="138" t="str">
        <x:v>重要節點：8/28 前完成中英文定稿、圖片及附件準備；9/10～9/11 完成全站確認與意見整合；9/15 正式上線。</x:v>
      </x:c>
      <x:c r="Z16" s="138" t="str">
        <x:v>重要節點：8/28 前完成中英文定稿、圖片及附件準備；9/10～9/11 完成全站確認與意見整合；9/15 正式上線。</x:v>
      </x:c>
      <x:c r="AA16" s="138" t="str">
        <x:v>重要節點：8/28 前完成中英文定稿、圖片及附件準備；9/10～9/11 完成全站確認與意見整合；9/15 正式上線。</x:v>
      </x:c>
      <x:c r="AB16" s="138" t="str">
        <x:v>重要節點：8/28 前完成中英文定稿、圖片及附件準備；9/10～9/11 完成全站確認與意見整合；9/15 正式上線。</x:v>
      </x:c>
      <x:c r="AC16" s="138" t="str">
        <x:v>重要節點：8/28 前完成中英文定稿、圖片及附件準備；9/10～9/11 完成全站確認與意見整合；9/15 正式上線。</x:v>
      </x:c>
      <x:c r="AD16" s="138" t="str">
        <x:v>重要節點：8/28 前完成中英文定稿、圖片及附件準備；9/10～9/11 完成全站確認與意見整合；9/15 正式上線。</x:v>
      </x:c>
      <x:c r="AE16" s="138" t="str">
        <x:v>重要節點：8/28 前完成中英文定稿、圖片及附件準備；9/10～9/11 完成全站確認與意見整合；9/15 正式上線。</x:v>
      </x:c>
      <x:c r="AF16" s="138" t="str">
        <x:v>重要節點：8/28 前完成中英文定稿、圖片及附件準備；9/10～9/11 完成全站確認與意見整合；9/15 正式上線。</x:v>
      </x:c>
      <x:c r="AG16" s="138" t="str">
        <x:v>重要節點：8/28 前完成中英文定稿、圖片及附件準備；9/10～9/11 完成全站確認與意見整合；9/15 正式上線。</x:v>
      </x:c>
      <x:c r="AH16" s="138" t="str">
        <x:v>重要節點：8/28 前完成中英文定稿、圖片及附件準備；9/10～9/11 完成全站確認與意見整合；9/15 正式上線。</x:v>
      </x:c>
      <x:c r="AI16" s="138" t="str">
        <x:v>重要節點：8/28 前完成中英文定稿、圖片及附件準備；9/10～9/11 完成全站確認與意見整合；9/15 正式上線。</x:v>
      </x:c>
      <x:c r="AJ16" s="138" t="str">
        <x:v>重要節點：8/28 前完成中英文定稿、圖片及附件準備；9/10～9/11 完成全站確認與意見整合；9/15 正式上線。</x:v>
      </x:c>
      <x:c r="AK16" s="138" t="str">
        <x:v>重要節點：8/28 前完成中英文定稿、圖片及附件準備；9/10～9/11 完成全站確認與意見整合；9/15 正式上線。</x:v>
      </x:c>
      <x:c r="AL16" s="138" t="str">
        <x:v>重要節點：8/28 前完成中英文定稿、圖片及附件準備；9/10～9/11 完成全站確認與意見整合；9/15 正式上線。</x:v>
      </x:c>
      <x:c r="AM16" s="138" t="str">
        <x:v>重要節點：8/28 前完成中英文定稿、圖片及附件準備；9/10～9/11 完成全站確認與意見整合；9/15 正式上線。</x:v>
      </x:c>
      <x:c r="AN16" s="139" t="str">
        <x:v>重要節點：8/28 前完成中英文定稿、圖片及附件準備；9/10～9/11 完成全站確認與意見整合；9/15 正式上線。</x:v>
      </x:c>
    </x:row>
    <x:row r="17">
      <x:c r="A17" s="140" t="str">
        <x:v>重要節點：8/28 前完成中英文定稿、圖片及附件準備；9/10～9/11 完成全站確認與意見整合；9/15 正式上線。</x:v>
      </x:c>
      <x:c r="B17" s="141" t="str">
        <x:v>重要節點：8/28 前完成中英文定稿、圖片及附件準備；9/10～9/11 完成全站確認與意見整合；9/15 正式上線。</x:v>
      </x:c>
      <x:c r="C17" s="141" t="str">
        <x:v>重要節點：8/28 前完成中英文定稿、圖片及附件準備；9/10～9/11 完成全站確認與意見整合；9/15 正式上線。</x:v>
      </x:c>
      <x:c r="D17" s="141" t="str">
        <x:v>重要節點：8/28 前完成中英文定稿、圖片及附件準備；9/10～9/11 完成全站確認與意見整合；9/15 正式上線。</x:v>
      </x:c>
      <x:c r="E17" s="141" t="str">
        <x:v>重要節點：8/28 前完成中英文定稿、圖片及附件準備；9/10～9/11 完成全站確認與意見整合；9/15 正式上線。</x:v>
      </x:c>
      <x:c r="F17" s="141" t="str">
        <x:v>重要節點：8/28 前完成中英文定稿、圖片及附件準備；9/10～9/11 完成全站確認與意見整合；9/15 正式上線。</x:v>
      </x:c>
      <x:c r="G17" s="141" t="str">
        <x:v>重要節點：8/28 前完成中英文定稿、圖片及附件準備；9/10～9/11 完成全站確認與意見整合；9/15 正式上線。</x:v>
      </x:c>
      <x:c r="H17" s="141" t="str">
        <x:v>重要節點：8/28 前完成中英文定稿、圖片及附件準備；9/10～9/11 完成全站確認與意見整合；9/15 正式上線。</x:v>
      </x:c>
      <x:c r="I17" s="141" t="str">
        <x:v>重要節點：8/28 前完成中英文定稿、圖片及附件準備；9/10～9/11 完成全站確認與意見整合；9/15 正式上線。</x:v>
      </x:c>
      <x:c r="J17" s="141" t="str">
        <x:v>重要節點：8/28 前完成中英文定稿、圖片及附件準備；9/10～9/11 完成全站確認與意見整合；9/15 正式上線。</x:v>
      </x:c>
      <x:c r="K17" s="141" t="str">
        <x:v>重要節點：8/28 前完成中英文定稿、圖片及附件準備；9/10～9/11 完成全站確認與意見整合；9/15 正式上線。</x:v>
      </x:c>
      <x:c r="L17" s="141" t="str">
        <x:v>重要節點：8/28 前完成中英文定稿、圖片及附件準備；9/10～9/11 完成全站確認與意見整合；9/15 正式上線。</x:v>
      </x:c>
      <x:c r="M17" s="141" t="str">
        <x:v>重要節點：8/28 前完成中英文定稿、圖片及附件準備；9/10～9/11 完成全站確認與意見整合；9/15 正式上線。</x:v>
      </x:c>
      <x:c r="N17" s="141" t="str">
        <x:v>重要節點：8/28 前完成中英文定稿、圖片及附件準備；9/10～9/11 完成全站確認與意見整合；9/15 正式上線。</x:v>
      </x:c>
      <x:c r="O17" s="141" t="str">
        <x:v>重要節點：8/28 前完成中英文定稿、圖片及附件準備；9/10～9/11 完成全站確認與意見整合；9/15 正式上線。</x:v>
      </x:c>
      <x:c r="P17" s="141" t="str">
        <x:v>重要節點：8/28 前完成中英文定稿、圖片及附件準備；9/10～9/11 完成全站確認與意見整合；9/15 正式上線。</x:v>
      </x:c>
      <x:c r="Q17" s="141" t="str">
        <x:v>重要節點：8/28 前完成中英文定稿、圖片及附件準備；9/10～9/11 完成全站確認與意見整合；9/15 正式上線。</x:v>
      </x:c>
      <x:c r="R17" s="141" t="str">
        <x:v>重要節點：8/28 前完成中英文定稿、圖片及附件準備；9/10～9/11 完成全站確認與意見整合；9/15 正式上線。</x:v>
      </x:c>
      <x:c r="S17" s="141" t="str">
        <x:v>重要節點：8/28 前完成中英文定稿、圖片及附件準備；9/10～9/11 完成全站確認與意見整合；9/15 正式上線。</x:v>
      </x:c>
      <x:c r="T17" s="141" t="str">
        <x:v>重要節點：8/28 前完成中英文定稿、圖片及附件準備；9/10～9/11 完成全站確認與意見整合；9/15 正式上線。</x:v>
      </x:c>
      <x:c r="U17" s="141" t="str">
        <x:v>重要節點：8/28 前完成中英文定稿、圖片及附件準備；9/10～9/11 完成全站確認與意見整合；9/15 正式上線。</x:v>
      </x:c>
      <x:c r="V17" s="141" t="str">
        <x:v>重要節點：8/28 前完成中英文定稿、圖片及附件準備；9/10～9/11 完成全站確認與意見整合；9/15 正式上線。</x:v>
      </x:c>
      <x:c r="W17" s="141" t="str">
        <x:v>重要節點：8/28 前完成中英文定稿、圖片及附件準備；9/10～9/11 完成全站確認與意見整合；9/15 正式上線。</x:v>
      </x:c>
      <x:c r="X17" s="141" t="str">
        <x:v>重要節點：8/28 前完成中英文定稿、圖片及附件準備；9/10～9/11 完成全站確認與意見整合；9/15 正式上線。</x:v>
      </x:c>
      <x:c r="Y17" s="141" t="str">
        <x:v>重要節點：8/28 前完成中英文定稿、圖片及附件準備；9/10～9/11 完成全站確認與意見整合；9/15 正式上線。</x:v>
      </x:c>
      <x:c r="Z17" s="141" t="str">
        <x:v>重要節點：8/28 前完成中英文定稿、圖片及附件準備；9/10～9/11 完成全站確認與意見整合；9/15 正式上線。</x:v>
      </x:c>
      <x:c r="AA17" s="141" t="str">
        <x:v>重要節點：8/28 前完成中英文定稿、圖片及附件準備；9/10～9/11 完成全站確認與意見整合；9/15 正式上線。</x:v>
      </x:c>
      <x:c r="AB17" s="141" t="str">
        <x:v>重要節點：8/28 前完成中英文定稿、圖片及附件準備；9/10～9/11 完成全站確認與意見整合；9/15 正式上線。</x:v>
      </x:c>
      <x:c r="AC17" s="141" t="str">
        <x:v>重要節點：8/28 前完成中英文定稿、圖片及附件準備；9/10～9/11 完成全站確認與意見整合；9/15 正式上線。</x:v>
      </x:c>
      <x:c r="AD17" s="141" t="str">
        <x:v>重要節點：8/28 前完成中英文定稿、圖片及附件準備；9/10～9/11 完成全站確認與意見整合；9/15 正式上線。</x:v>
      </x:c>
      <x:c r="AE17" s="141" t="str">
        <x:v>重要節點：8/28 前完成中英文定稿、圖片及附件準備；9/10～9/11 完成全站確認與意見整合；9/15 正式上線。</x:v>
      </x:c>
      <x:c r="AF17" s="141" t="str">
        <x:v>重要節點：8/28 前完成中英文定稿、圖片及附件準備；9/10～9/11 完成全站確認與意見整合；9/15 正式上線。</x:v>
      </x:c>
      <x:c r="AG17" s="141" t="str">
        <x:v>重要節點：8/28 前完成中英文定稿、圖片及附件準備；9/10～9/11 完成全站確認與意見整合；9/15 正式上線。</x:v>
      </x:c>
      <x:c r="AH17" s="141" t="str">
        <x:v>重要節點：8/28 前完成中英文定稿、圖片及附件準備；9/10～9/11 完成全站確認與意見整合；9/15 正式上線。</x:v>
      </x:c>
      <x:c r="AI17" s="141" t="str">
        <x:v>重要節點：8/28 前完成中英文定稿、圖片及附件準備；9/10～9/11 完成全站確認與意見整合；9/15 正式上線。</x:v>
      </x:c>
      <x:c r="AJ17" s="141" t="str">
        <x:v>重要節點：8/28 前完成中英文定稿、圖片及附件準備；9/10～9/11 完成全站確認與意見整合；9/15 正式上線。</x:v>
      </x:c>
      <x:c r="AK17" s="141" t="str">
        <x:v>重要節點：8/28 前完成中英文定稿、圖片及附件準備；9/10～9/11 完成全站確認與意見整合；9/15 正式上線。</x:v>
      </x:c>
      <x:c r="AL17" s="141" t="str">
        <x:v>重要節點：8/28 前完成中英文定稿、圖片及附件準備；9/10～9/11 完成全站確認與意見整合；9/15 正式上線。</x:v>
      </x:c>
      <x:c r="AM17" s="141" t="str">
        <x:v>重要節點：8/28 前完成中英文定稿、圖片及附件準備；9/10～9/11 完成全站確認與意見整合；9/15 正式上線。</x:v>
      </x:c>
      <x:c r="AN17" s="142" t="str">
        <x:v>重要節點：8/28 前完成中英文定稿、圖片及附件準備；9/10～9/11 完成全站確認與意見整合；9/15 正式上線。</x:v>
      </x:c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</x:row>
  </x:sheetData>
  <x:mergeCells>
    <x:mergeCell ref="A1:AN2"/>
    <x:mergeCell ref="A3:AN3"/>
    <x:mergeCell ref="A16:AN17"/>
  </x:mergeCells>
  <x:pageMargins left="0.7" right="0.7" top="0.75" bottom="0.75" header="0.3" footer="0.3"/>
</x:worksheet>
</file>