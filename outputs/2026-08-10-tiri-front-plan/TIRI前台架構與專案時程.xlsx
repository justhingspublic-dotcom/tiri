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2050ae328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台架構圖" sheetId="1" r:id="R682513311ac24643"/>
    <x:sheet xmlns:r="http://schemas.openxmlformats.org/officeDocument/2006/relationships" name="頁面內容規劃" sheetId="2" r:id="R857767d529324970"/>
    <x:sheet xmlns:r="http://schemas.openxmlformats.org/officeDocument/2006/relationships" name="雙語對應" sheetId="3" r:id="R54900513d15a43e7"/>
    <x:sheet xmlns:r="http://schemas.openxmlformats.org/officeDocument/2006/relationships" name="專案時程" sheetId="4" r:id="Rcb56299639ff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"/>
    <x:numFmt numFmtId="201" formatCode="yyyy-mm-dd"/>
  </x:numFmts>
  <x:fonts count="24">
    <x:font>
      <x:sz val="11"/>
      <x:name val="Carlito"/>
    </x:font>
    <x:font>
      <x:b/>
      <x:sz val="20"/>
      <x:color rgb="FFFFFFFF"/>
      <x:name val="Carlito"/>
    </x:font>
    <x:font>
      <x:sz val="10"/>
      <x:color rgb="FF203A5F"/>
      <x:name val="Carlito"/>
    </x:font>
    <x:font>
      <x:b/>
      <x:sz val="20"/>
      <x:color rgb="FFFFFFFF"/>
      <x:name val="Noto Sans TC"/>
    </x:font>
    <x:font>
      <x:sz val="10"/>
      <x:color rgb="FF203A5F"/>
      <x:name val="Noto Sans TC"/>
    </x:font>
    <x:font>
      <x:sz val="11"/>
      <x:name val="Noto Sans TC"/>
    </x:font>
    <x:font>
      <x:b/>
      <x:sz val="13"/>
      <x:color rgb="FFFFFFFF"/>
      <x:name val="Noto Sans TC"/>
    </x:font>
    <x:font>
      <x:i/>
      <x:sz val="9"/>
      <x:color rgb="FF64748B"/>
      <x:name val="Noto Sans TC"/>
    </x:font>
    <x:font>
      <x:b/>
      <x:sz val="11"/>
      <x:color rgb="FFFFFFFF"/>
      <x:name val="Noto Sans TC"/>
    </x:font>
    <x:font>
      <x:b/>
      <x:sz val="10"/>
      <x:color rgb="FFFFFFFF"/>
      <x:name val="Noto Sans TC"/>
    </x:font>
    <x:font>
      <x:b/>
      <x:sz val="9"/>
      <x:color rgb="FF1F3B23"/>
      <x:name val="Noto Sans TC"/>
    </x:font>
    <x:font>
      <x:b/>
      <x:sz val="10"/>
      <x:color rgb="FF8A5A00"/>
      <x:name val="Noto Sans TC"/>
    </x:font>
    <x:font>
      <x:b/>
      <x:sz val="9"/>
      <x:color rgb="FFFFFFFF"/>
      <x:name val="Noto Sans TC"/>
    </x:font>
    <x:font>
      <x:b/>
      <x:sz val="9"/>
      <x:color rgb="FF3D2A00"/>
      <x:name val="Noto Sans TC"/>
    </x:font>
    <x:font>
      <x:b/>
      <x:sz val="9"/>
      <x:color rgb="FF203A5F"/>
      <x:name val="Noto Sans TC"/>
    </x:font>
    <x:font>
      <x:b/>
      <x:sz val="10"/>
      <x:color rgb="FF203A5F"/>
      <x:name val="Noto Sans TC"/>
    </x:font>
    <x:font>
      <x:sz val="9"/>
      <x:color rgb="FF243241"/>
      <x:name val="Noto Sans TC"/>
    </x:font>
    <x:font>
      <x:b/>
      <x:sz val="9"/>
      <x:color rgb="FF8A5A00"/>
      <x:name val="Noto Sans TC"/>
    </x:font>
    <x:font>
      <x:b/>
      <x:sz val="8"/>
      <x:color rgb="FFFFFFFF"/>
      <x:name val="Noto Sans TC"/>
    </x:font>
    <x:font>
      <x:sz val="14"/>
      <x:color rgb="FF2F5F8F"/>
      <x:name val="Noto Sans TC"/>
    </x:font>
    <x:font>
      <x:sz val="14"/>
      <x:color rgb="FF775DA6"/>
      <x:name val="Noto Sans TC"/>
    </x:font>
    <x:font>
      <x:sz val="14"/>
      <x:color rgb="FF18AFC0"/>
      <x:name val="Noto Sans TC"/>
    </x:font>
    <x:font>
      <x:sz val="14"/>
      <x:color rgb="FF2E8B57"/>
      <x:name val="Noto Sans TC"/>
    </x:font>
    <x:font>
      <x:sz val="14"/>
      <x:color rgb="FFE3A008"/>
      <x:name val="Noto Sans TC"/>
    </x:font>
  </x:fonts>
  <x:fills count="15">
    <x:fill>
      <x:patternFill patternType="none"/>
    </x:fill>
    <x:fill>
      <x:patternFill patternType="gray125"/>
    </x:fill>
    <x:fill>
      <x:patternFill patternType="solid">
        <x:fgColor rgb="FF203A5F"/>
      </x:patternFill>
    </x:fill>
    <x:fill>
      <x:patternFill patternType="solid">
        <x:fgColor rgb="FFE8EEF5"/>
      </x:patternFill>
    </x:fill>
    <x:fill>
      <x:patternFill patternType="solid">
        <x:fgColor rgb="FF4A90C2"/>
      </x:patternFill>
    </x:fill>
    <x:fill>
      <x:patternFill patternType="solid">
        <x:fgColor rgb="FFD85B59"/>
      </x:patternFill>
    </x:fill>
    <x:fill>
      <x:patternFill patternType="solid">
        <x:fgColor rgb="FF18AFC0"/>
      </x:patternFill>
    </x:fill>
    <x:fill>
      <x:patternFill patternType="solid">
        <x:fgColor rgb="FF94BE3F"/>
      </x:patternFill>
    </x:fill>
    <x:fill>
      <x:patternFill patternType="solid">
        <x:fgColor rgb="FFFFF7E6"/>
      </x:patternFill>
    </x:fill>
    <x:fill>
      <x:patternFill patternType="solid">
        <x:fgColor rgb="FFE3A008"/>
      </x:patternFill>
    </x:fill>
    <x:fill>
      <x:patternFill patternType="solid">
        <x:fgColor rgb="FF2F5F8F"/>
      </x:patternFill>
    </x:fill>
    <x:fill>
      <x:patternFill patternType="solid">
        <x:fgColor rgb="FF775DA6"/>
      </x:patternFill>
    </x:fill>
    <x:fill>
      <x:patternFill patternType="solid">
        <x:fgColor rgb="FF2E8B57"/>
      </x:patternFill>
    </x:fill>
    <x:fill>
      <x:patternFill patternType="solid">
        <x:fgColor rgb="FFEEF1F4"/>
      </x:patternFill>
    </x:fill>
    <x:fill>
      <x:patternFill patternType="solid">
        <x:fgColor rgb="FF6B7280"/>
      </x:patternFill>
    </x:fill>
  </x:fills>
  <x:borders count="25">
    <x:border/>
    <x:border>
      <x:left style="thin">
        <x:color rgb="FFB8C2CC"/>
      </x:left>
      <x:top style="thin">
        <x:color rgb="FFB8C2CC"/>
      </x:top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E3A008"/>
      </x:left>
      <x:top style="thin">
        <x:color rgb="FFE3A008"/>
      </x:top>
    </x:border>
    <x:border>
      <x:top style="thin">
        <x:color rgb="FFE3A008"/>
      </x:top>
    </x:border>
    <x:border>
      <x:right style="thin">
        <x:color rgb="FFE3A008"/>
      </x:right>
      <x:top style="thin">
        <x:color rgb="FFE3A008"/>
      </x:top>
    </x:border>
    <x:border>
      <x:left style="thin">
        <x:color rgb="FFE3A008"/>
      </x:left>
    </x:border>
    <x:border>
      <x:right style="thin">
        <x:color rgb="FFE3A008"/>
      </x:right>
    </x:border>
    <x:border>
      <x:left style="thin">
        <x:color rgb="FFE3A008"/>
      </x:left>
      <x:bottom style="thin">
        <x:color rgb="FFE3A008"/>
      </x:bottom>
    </x:border>
    <x:border>
      <x:bottom style="thin">
        <x:color rgb="FFE3A008"/>
      </x:bottom>
    </x:border>
    <x:border>
      <x:right style="thin">
        <x:color rgb="FFE3A008"/>
      </x:right>
      <x:bottom style="thin">
        <x:color rgb="FFE3A008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7" xfId="0" applyNumberFormat="1" applyFont="1" applyFill="1" applyBorder="1" applyAlignment="1">
      <x:alignment horizontal="center" vertical="center" wrapText="1"/>
    </x:xf>
    <x:xf numFmtId="0" fontId="8" fillId="5" borderId="8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6" borderId="7" xfId="0" applyNumberFormat="1" applyFont="1" applyFill="1" applyBorder="1" applyAlignment="1">
      <x:alignment horizontal="center" vertical="center" wrapText="1"/>
    </x:xf>
    <x:xf numFmtId="0" fontId="9" fillId="6" borderId="8" xfId="0" applyNumberFormat="1" applyFont="1" applyFill="1" applyBorder="1" applyAlignment="1">
      <x:alignment horizontal="center" vertical="center" wrapText="1"/>
    </x:xf>
    <x:xf numFmtId="0" fontId="9" fillId="6" borderId="9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0" fillId="7" borderId="7" xfId="0" applyNumberFormat="1" applyFont="1" applyFill="1" applyBorder="1" applyAlignment="1">
      <x:alignment horizontal="center" vertical="center" wrapText="1"/>
    </x:xf>
    <x:xf numFmtId="0" fontId="10" fillId="7" borderId="8" xfId="0" applyNumberFormat="1" applyFont="1" applyFill="1" applyBorder="1" applyAlignment="1">
      <x:alignment horizontal="center" vertical="center" wrapText="1"/>
    </x:xf>
    <x:xf numFmtId="0" fontId="10" fillId="7" borderId="9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0" xfId="0" applyNumberFormat="1" applyFont="1" applyFill="1" applyBorder="1" applyAlignment="1">
      <x:alignment vertical="center" wrapText="1"/>
    </x:xf>
    <x:xf numFmtId="0" fontId="11" fillId="8" borderId="11" xfId="0" applyNumberFormat="1" applyFont="1" applyFill="1" applyBorder="1" applyAlignment="1">
      <x:alignment vertical="center" wrapText="1"/>
    </x:xf>
    <x:xf numFmtId="0" fontId="11" fillId="8" borderId="12" xfId="0" applyNumberFormat="1" applyFont="1" applyFill="1" applyBorder="1" applyAlignment="1">
      <x:alignment vertical="center" wrapText="1"/>
    </x:xf>
    <x:xf numFmtId="0" fontId="11" fillId="8" borderId="13" xfId="0" applyNumberFormat="1" applyFont="1" applyFill="1" applyBorder="1" applyAlignment="1">
      <x:alignment vertical="center" wrapText="1"/>
    </x:xf>
    <x:xf numFmtId="0" fontId="11" fillId="8" borderId="14" xfId="0" applyNumberFormat="1" applyFont="1" applyFill="1" applyBorder="1" applyAlignment="1">
      <x:alignment vertical="center" wrapText="1"/>
    </x:xf>
    <x:xf numFmtId="0" fontId="11" fillId="8" borderId="15" xfId="0" applyNumberFormat="1" applyFont="1" applyFill="1" applyBorder="1" applyAlignment="1">
      <x:alignment vertical="center" wrapText="1"/>
    </x:xf>
    <x:xf numFmtId="0" fontId="11" fillId="8" borderId="16" xfId="0" applyNumberFormat="1" applyFont="1" applyFill="1" applyBorder="1" applyAlignment="1">
      <x:alignment vertical="center" wrapText="1"/>
    </x:xf>
    <x:xf numFmtId="0" fontId="11" fillId="8" borderId="17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2" fillId="4" borderId="4" xfId="0" applyNumberFormat="1" applyFont="1" applyFill="1" applyBorder="1" applyAlignment="1">
      <x:alignment horizontal="center" vertical="center" wrapText="1"/>
    </x:xf>
    <x:xf numFmtId="0" fontId="12" fillId="4" borderId="5" xfId="0" applyNumberFormat="1" applyFont="1" applyFill="1" applyBorder="1" applyAlignment="1">
      <x:alignment horizontal="center" vertical="center" wrapText="1"/>
    </x:xf>
    <x:xf numFmtId="0" fontId="12" fillId="4" borderId="6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0" fontId="12" fillId="5" borderId="2" xfId="0" applyNumberFormat="1" applyFont="1" applyFill="1" applyBorder="1" applyAlignment="1">
      <x:alignment horizontal="center" vertical="center" wrapText="1"/>
    </x:xf>
    <x:xf numFmtId="0" fontId="12" fillId="5" borderId="3" xfId="0" applyNumberFormat="1" applyFont="1" applyFill="1" applyBorder="1" applyAlignment="1">
      <x:alignment horizontal="center" vertical="center" wrapText="1"/>
    </x:xf>
    <x:xf numFmtId="0" fontId="12" fillId="5" borderId="4" xfId="0" applyNumberFormat="1" applyFont="1" applyFill="1" applyBorder="1" applyAlignment="1">
      <x:alignment horizontal="center" vertical="center" wrapText="1"/>
    </x:xf>
    <x:xf numFmtId="0" fontId="12" fillId="5" borderId="5" xfId="0" applyNumberFormat="1" applyFont="1" applyFill="1" applyBorder="1" applyAlignment="1">
      <x:alignment horizontal="center" vertical="center" wrapText="1"/>
    </x:xf>
    <x:xf numFmtId="0" fontId="12" fillId="5" borderId="6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2" fillId="6" borderId="1" xfId="0" applyNumberFormat="1" applyFont="1" applyFill="1" applyBorder="1" applyAlignment="1">
      <x:alignment horizontal="center" vertical="center" wrapText="1"/>
    </x:xf>
    <x:xf numFmtId="0" fontId="12" fillId="6" borderId="2" xfId="0" applyNumberFormat="1" applyFont="1" applyFill="1" applyBorder="1" applyAlignment="1">
      <x:alignment horizontal="center" vertical="center" wrapText="1"/>
    </x:xf>
    <x:xf numFmtId="0" fontId="12" fillId="6" borderId="3" xfId="0" applyNumberFormat="1" applyFont="1" applyFill="1" applyBorder="1" applyAlignment="1">
      <x:alignment horizontal="center" vertical="center" wrapText="1"/>
    </x:xf>
    <x:xf numFmtId="0" fontId="12" fillId="6" borderId="4" xfId="0" applyNumberFormat="1" applyFont="1" applyFill="1" applyBorder="1" applyAlignment="1">
      <x:alignment horizontal="center" vertical="center" wrapText="1"/>
    </x:xf>
    <x:xf numFmtId="0" fontId="12" fillId="6" borderId="5" xfId="0" applyNumberFormat="1" applyFont="1" applyFill="1" applyBorder="1" applyAlignment="1">
      <x:alignment horizontal="center" vertical="center" wrapText="1"/>
    </x:xf>
    <x:xf numFmtId="0" fontId="12" fillId="6" borderId="6" xfId="0" applyNumberFormat="1" applyFont="1" applyFill="1" applyBorder="1" applyAlignment="1">
      <x:alignment horizontal="center"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0" fillId="7" borderId="2" xfId="0" applyNumberFormat="1" applyFont="1" applyFill="1" applyBorder="1" applyAlignment="1">
      <x:alignment horizontal="center" vertical="center" wrapText="1"/>
    </x:xf>
    <x:xf numFmtId="0" fontId="10" fillId="7" borderId="3" xfId="0" applyNumberFormat="1" applyFont="1" applyFill="1" applyBorder="1" applyAlignment="1">
      <x:alignment horizontal="center" vertical="center" wrapText="1"/>
    </x:xf>
    <x:xf numFmtId="0" fontId="10" fillId="7" borderId="4" xfId="0" applyNumberFormat="1" applyFont="1" applyFill="1" applyBorder="1" applyAlignment="1">
      <x:alignment horizontal="center" vertical="center" wrapText="1"/>
    </x:xf>
    <x:xf numFmtId="0" fontId="10" fillId="7" borderId="5" xfId="0" applyNumberFormat="1" applyFont="1" applyFill="1" applyBorder="1" applyAlignment="1">
      <x:alignment horizontal="center" vertical="center" wrapText="1"/>
    </x:xf>
    <x:xf numFmtId="0" fontId="10" fillId="7" borderId="6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/>
    </x:xf>
    <x:xf numFmtId="0" fontId="13" fillId="9" borderId="0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 applyAlignment="1">
      <x:alignment horizontal="center" vertical="center" wrapText="1"/>
    </x:xf>
    <x:xf numFmtId="0" fontId="13" fillId="9" borderId="1" xfId="0" applyNumberFormat="1" applyFont="1" applyFill="1" applyBorder="1" applyAlignment="1">
      <x:alignment horizontal="center" vertical="center" wrapText="1"/>
    </x:xf>
    <x:xf numFmtId="0" fontId="13" fillId="9" borderId="2" xfId="0" applyNumberFormat="1" applyFont="1" applyFill="1" applyBorder="1" applyAlignment="1">
      <x:alignment horizontal="center" vertical="center" wrapText="1"/>
    </x:xf>
    <x:xf numFmtId="0" fontId="13" fillId="9" borderId="3" xfId="0" applyNumberFormat="1" applyFont="1" applyFill="1" applyBorder="1" applyAlignment="1">
      <x:alignment horizontal="center" vertical="center" wrapText="1"/>
    </x:xf>
    <x:xf numFmtId="0" fontId="13" fillId="9" borderId="4" xfId="0" applyNumberFormat="1" applyFont="1" applyFill="1" applyBorder="1" applyAlignment="1">
      <x:alignment horizontal="center" vertical="center" wrapText="1"/>
    </x:xf>
    <x:xf numFmtId="0" fontId="13" fillId="9" borderId="5" xfId="0" applyNumberFormat="1" applyFont="1" applyFill="1" applyBorder="1" applyAlignment="1">
      <x:alignment horizontal="center" vertical="center" wrapText="1"/>
    </x:xf>
    <x:xf numFmtId="0" fontId="13" fillId="9" borderId="6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horizontal="center" wrapText="1"/>
    </x:xf>
    <x:xf numFmtId="0" fontId="14" fillId="3" borderId="0" xfId="0" applyNumberFormat="1" applyFont="1" applyFill="1" applyBorder="1" applyAlignment="1">
      <x:alignment horizontal="center" vertical="center" wrapText="1"/>
    </x:xf>
    <x:xf numFmtId="0" fontId="14" fillId="3" borderId="18" xfId="0" applyNumberFormat="1" applyFont="1" applyFill="1" applyBorder="1" applyAlignment="1">
      <x:alignment horizontal="center" vertical="center" wrapText="1"/>
    </x:xf>
    <x:xf numFmtId="0" fontId="14" fillId="3" borderId="19" xfId="0" applyNumberFormat="1" applyFont="1" applyFill="1" applyBorder="1" applyAlignment="1">
      <x:alignment horizontal="center" vertical="center" wrapText="1"/>
    </x:xf>
    <x:xf numFmtId="0" fontId="14" fillId="3" borderId="20" xfId="0" applyNumberFormat="1" applyFont="1" applyFill="1" applyBorder="1" applyAlignment="1">
      <x:alignment horizontal="center" vertical="center" wrapText="1"/>
    </x:xf>
    <x:xf numFmtId="0" fontId="14" fillId="3" borderId="21" xfId="0" applyNumberFormat="1" applyFont="1" applyFill="1" applyBorder="1" applyAlignment="1">
      <x:alignment horizontal="center" vertical="center" wrapText="1"/>
    </x:xf>
    <x:xf numFmtId="0" fontId="14" fillId="3" borderId="22" xfId="0" applyNumberFormat="1" applyFont="1" applyFill="1" applyBorder="1" applyAlignment="1">
      <x:alignment horizontal="center" vertical="center" wrapText="1"/>
    </x:xf>
    <x:xf numFmtId="0" fontId="14" fillId="3" borderId="23" xfId="0" applyNumberFormat="1" applyFont="1" applyFill="1" applyBorder="1" applyAlignment="1">
      <x:alignment horizontal="center" vertical="center" wrapText="1"/>
    </x:xf>
    <x:xf numFmtId="0" fontId="15" fillId="3" borderId="0" xfId="0" applyNumberFormat="1" applyFont="1" applyFill="1" applyBorder="1"/>
    <x:xf numFmtId="0" fontId="5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 wrapText="1"/>
    </x:xf>
    <x:xf numFmtId="0" fontId="16" fillId="0" borderId="22" xfId="0" applyNumberFormat="1" applyFont="1" applyFill="1" applyBorder="1" applyAlignment="1">
      <x:alignment vertical="center" wrapText="1"/>
    </x:xf>
    <x:xf numFmtId="0" fontId="16" fillId="0" borderId="24" xfId="0" applyNumberFormat="1" applyFont="1" applyFill="1" applyBorder="1" applyAlignment="1">
      <x:alignment vertical="center" wrapText="1"/>
    </x:xf>
    <x:xf numFmtId="0" fontId="16" fillId="0" borderId="22" xfId="0" applyNumberFormat="1" applyFont="1" applyFill="1" applyBorder="1" applyAlignment="1">
      <x:alignment horizontal="center" vertical="center" wrapText="1"/>
    </x:xf>
    <x:xf numFmtId="0" fontId="16" fillId="0" borderId="24" xfId="0" applyNumberFormat="1" applyFont="1" applyFill="1" applyBorder="1" applyAlignment="1">
      <x:alignment horizontal="center" vertical="center" wrapText="1"/>
    </x:xf>
    <x:xf numFmtId="0" fontId="16" fillId="8" borderId="22" xfId="0" applyNumberFormat="1" applyFont="1" applyFill="1" applyBorder="1" applyAlignment="1">
      <x:alignment horizontal="center" vertical="center" wrapText="1"/>
    </x:xf>
    <x:xf numFmtId="0" fontId="16" fillId="8" borderId="24" xfId="0" applyNumberFormat="1" applyFont="1" applyFill="1" applyBorder="1" applyAlignment="1">
      <x:alignment horizontal="center" vertical="center" wrapText="1"/>
    </x:xf>
    <x:xf numFmtId="0" fontId="17" fillId="8" borderId="22" xfId="0" applyNumberFormat="1" applyFont="1" applyFill="1" applyBorder="1" applyAlignment="1">
      <x:alignment horizontal="center" vertical="center" wrapText="1"/>
    </x:xf>
    <x:xf numFmtId="0" fontId="17" fillId="8" borderId="24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/>
    <x:xf numFmtId="200" fontId="5" fillId="2" borderId="0" xfId="0" applyNumberFormat="1" applyFont="1" applyFill="1" applyBorder="1"/>
    <x:xf numFmtId="200" fontId="9" fillId="2" borderId="0" xfId="0" applyNumberFormat="1" applyFont="1" applyFill="1" applyBorder="1"/>
    <x:xf numFmtId="200" fontId="9" fillId="2" borderId="0" xfId="0" applyNumberFormat="1" applyFont="1" applyFill="1" applyBorder="1" applyAlignment="1">
      <x:alignment horizontal="center"/>
    </x:xf>
    <x:xf numFmtId="200" fontId="9" fillId="2" borderId="0" xfId="0" applyNumberFormat="1" applyFont="1" applyFill="1" applyBorder="1" applyAlignment="1">
      <x:alignment horizontal="center" vertical="center"/>
    </x:xf>
    <x:xf numFmtId="200" fontId="9" fillId="2" borderId="0" xfId="0" applyNumberFormat="1" applyFont="1" applyFill="1" applyBorder="1" applyAlignment="1">
      <x:alignment horizontal="center" vertical="center" wrapText="1"/>
    </x:xf>
    <x:xf numFmtId="200" fontId="18" fillId="2" borderId="0" xfId="0" applyNumberFormat="1" applyFont="1" applyFill="1" applyBorder="1" applyAlignment="1">
      <x:alignment horizontal="center" vertical="center" wrapText="1"/>
    </x:xf>
    <x:xf numFmtId="201" fontId="16" fillId="0" borderId="22" xfId="0" applyNumberFormat="1" applyFont="1" applyFill="1" applyBorder="1" applyAlignment="1">
      <x:alignment vertical="center" wrapText="1"/>
    </x:xf>
    <x:xf numFmtId="201" fontId="16" fillId="0" borderId="24" xfId="0" applyNumberFormat="1" applyFont="1" applyFill="1" applyBorder="1" applyAlignment="1">
      <x:alignment vertical="center" wrapText="1"/>
    </x:xf>
    <x:xf numFmtId="201" fontId="16" fillId="0" borderId="22" xfId="0" applyNumberFormat="1" applyFont="1" applyFill="1" applyBorder="1" applyAlignment="1">
      <x:alignment horizontal="center" vertical="center" wrapText="1"/>
    </x:xf>
    <x:xf numFmtId="201" fontId="16" fillId="0" borderId="2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 applyAlignment="1">
      <x:alignment horizontal="center" vertical="center"/>
    </x:xf>
    <x:xf numFmtId="0" fontId="16" fillId="10" borderId="22" xfId="0" applyNumberFormat="1" applyFont="1" applyFill="1" applyBorder="1" applyAlignment="1">
      <x:alignment horizontal="center" vertical="center" wrapText="1"/>
    </x:xf>
    <x:xf numFmtId="0" fontId="12" fillId="10" borderId="22" xfId="0" applyNumberFormat="1" applyFont="1" applyFill="1" applyBorder="1" applyAlignment="1">
      <x:alignment horizontal="center" vertical="center" wrapText="1"/>
    </x:xf>
    <x:xf numFmtId="0" fontId="16" fillId="10" borderId="24" xfId="0" applyNumberFormat="1" applyFont="1" applyFill="1" applyBorder="1" applyAlignment="1">
      <x:alignment horizontal="center" vertical="center" wrapText="1"/>
    </x:xf>
    <x:xf numFmtId="0" fontId="12" fillId="10" borderId="24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 applyAlignment="1">
      <x:alignment horizontal="center" vertical="center"/>
    </x:xf>
    <x:xf numFmtId="0" fontId="16" fillId="11" borderId="24" xfId="0" applyNumberFormat="1" applyFont="1" applyFill="1" applyBorder="1" applyAlignment="1">
      <x:alignment horizontal="center" vertical="center" wrapText="1"/>
    </x:xf>
    <x:xf numFmtId="0" fontId="12" fillId="11" borderId="24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horizontal="center" vertical="center"/>
    </x:xf>
    <x:xf numFmtId="0" fontId="16" fillId="6" borderId="24" xfId="0" applyNumberFormat="1" applyFont="1" applyFill="1" applyBorder="1" applyAlignment="1">
      <x:alignment horizontal="center" vertical="center" wrapText="1"/>
    </x:xf>
    <x:xf numFmtId="0" fontId="12" fillId="6" borderId="24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horizontal="center" vertical="center"/>
    </x:xf>
    <x:xf numFmtId="0" fontId="16" fillId="12" borderId="24" xfId="0" applyNumberFormat="1" applyFont="1" applyFill="1" applyBorder="1" applyAlignment="1">
      <x:alignment horizontal="center" vertical="center" wrapText="1"/>
    </x:xf>
    <x:xf numFmtId="0" fontId="12" fillId="12" borderId="24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 applyAlignment="1">
      <x:alignment horizontal="center" vertical="center"/>
    </x:xf>
    <x:xf numFmtId="0" fontId="16" fillId="9" borderId="24" xfId="0" applyNumberFormat="1" applyFont="1" applyFill="1" applyBorder="1" applyAlignment="1">
      <x:alignment horizontal="center" vertical="center" wrapText="1"/>
    </x:xf>
    <x:xf numFmtId="0" fontId="12" fillId="9" borderId="24" xfId="0" applyNumberFormat="1" applyFont="1" applyFill="1" applyBorder="1" applyAlignment="1">
      <x:alignment horizontal="center" vertical="center" wrapText="1"/>
    </x:xf>
    <x:xf numFmtId="200" fontId="18" fillId="13" borderId="0" xfId="0" applyNumberFormat="1" applyFont="1" applyFill="1" applyBorder="1" applyAlignment="1">
      <x:alignment horizontal="center" vertical="center" wrapText="1"/>
    </x:xf>
    <x:xf numFmtId="0" fontId="19" fillId="13" borderId="0" xfId="0" applyNumberFormat="1" applyFont="1" applyFill="1" applyBorder="1" applyAlignment="1">
      <x:alignment horizontal="center" vertical="center"/>
    </x:xf>
    <x:xf numFmtId="0" fontId="20" fillId="13" borderId="0" xfId="0" applyNumberFormat="1" applyFont="1" applyFill="1" applyBorder="1" applyAlignment="1">
      <x:alignment horizontal="center" vertical="center"/>
    </x:xf>
    <x:xf numFmtId="0" fontId="21" fillId="13" borderId="0" xfId="0" applyNumberFormat="1" applyFont="1" applyFill="1" applyBorder="1" applyAlignment="1">
      <x:alignment horizontal="center" vertical="center"/>
    </x:xf>
    <x:xf numFmtId="0" fontId="22" fillId="13" borderId="0" xfId="0" applyNumberFormat="1" applyFont="1" applyFill="1" applyBorder="1" applyAlignment="1">
      <x:alignment horizontal="center" vertical="center"/>
    </x:xf>
    <x:xf numFmtId="0" fontId="23" fillId="13" borderId="0" xfId="0" applyNumberFormat="1" applyFont="1" applyFill="1" applyBorder="1" applyAlignment="1">
      <x:alignment horizontal="center" vertical="center"/>
    </x:xf>
    <x:xf numFmtId="200" fontId="18" fillId="14" borderId="0" xfId="0" applyNumberFormat="1" applyFont="1" applyFill="1" applyBorder="1" applyAlignment="1">
      <x:alignment horizontal="center" vertical="center" wrapText="1"/>
    </x:xf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wrapText="1"/>
    </x:xf>
    <x:xf numFmtId="0" fontId="17" fillId="8" borderId="0" xfId="0" applyNumberFormat="1" applyFont="1" applyFill="1" applyBorder="1" applyAlignment="1">
      <x:alignment vertical="center" wrapText="1"/>
    </x:xf>
    <x:xf numFmtId="0" fontId="17" fillId="8" borderId="10" xfId="0" applyNumberFormat="1" applyFont="1" applyFill="1" applyBorder="1" applyAlignment="1">
      <x:alignment vertical="center" wrapText="1"/>
    </x:xf>
    <x:xf numFmtId="0" fontId="17" fillId="8" borderId="11" xfId="0" applyNumberFormat="1" applyFont="1" applyFill="1" applyBorder="1" applyAlignment="1">
      <x:alignment vertical="center" wrapText="1"/>
    </x:xf>
    <x:xf numFmtId="0" fontId="17" fillId="8" borderId="12" xfId="0" applyNumberFormat="1" applyFont="1" applyFill="1" applyBorder="1" applyAlignment="1">
      <x:alignment vertical="center" wrapText="1"/>
    </x:xf>
    <x:xf numFmtId="0" fontId="17" fillId="8" borderId="13" xfId="0" applyNumberFormat="1" applyFont="1" applyFill="1" applyBorder="1" applyAlignment="1">
      <x:alignment vertical="center" wrapText="1"/>
    </x:xf>
    <x:xf numFmtId="0" fontId="17" fillId="8" borderId="14" xfId="0" applyNumberFormat="1" applyFont="1" applyFill="1" applyBorder="1" applyAlignment="1">
      <x:alignment vertical="center" wrapText="1"/>
    </x:xf>
    <x:xf numFmtId="0" fontId="17" fillId="8" borderId="15" xfId="0" applyNumberFormat="1" applyFont="1" applyFill="1" applyBorder="1" applyAlignment="1">
      <x:alignment vertical="center" wrapText="1"/>
    </x:xf>
    <x:xf numFmtId="0" fontId="17" fillId="8" borderId="16" xfId="0" applyNumberFormat="1" applyFont="1" applyFill="1" applyBorder="1" applyAlignment="1">
      <x:alignment vertical="center" wrapText="1"/>
    </x:xf>
    <x:xf numFmtId="0" fontId="17" fillId="8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B42318"/>
      </x:font>
      <x:fill>
        <x:patternFill patternType="solid">
          <x:bgColor rgb="FFFFF1F0"/>
        </x:patternFill>
      </x:fill>
    </x:dxf>
    <x:dxf>
      <x:font>
        <x:color rgb="FF2E8B57"/>
      </x:font>
      <x:fill>
        <x:patternFill patternType="solid">
          <x:bgColor rgb="FFEAF7EF"/>
        </x:patternFill>
      </x:fill>
    </x:dxf>
    <x:dxf>
      <x:font>
        <x:b/>
        <x:color rgb="FF8A5A00"/>
      </x:font>
      <x:fill>
        <x:patternFill patternType="solid">
          <x:bgColor rgb="FFFFF7E6"/>
        </x:patternFill>
      </x:fill>
    </x:dxf>
    <x:dxf>
      <x:font>
        <x:color rgb="FFB42318"/>
      </x:font>
      <x:fill>
        <x:patternFill patternType="solid">
          <x:bgColor rgb="FFFFF1F0"/>
        </x:patternFill>
      </x:fill>
    </x:dxf>
    <x:dxf>
      <x:font>
        <x:color rgb="FF2E8B57"/>
      </x:font>
      <x:fill>
        <x:patternFill patternType="solid">
          <x:bgColor rgb="FFEAF7EF"/>
        </x:patternFill>
      </x:fill>
    </x:dxf>
    <x:dxf>
      <x:font>
        <x:b/>
        <x:color rgb="FF2E8B57"/>
      </x:font>
      <x:fill>
        <x:patternFill patternType="solid">
          <x:bgColor rgb="FFEAF7EF"/>
        </x:patternFill>
      </x:fill>
    </x:dxf>
    <x:dxf>
      <x:font>
        <x:b/>
        <x:color rgb="FF2F5F8F"/>
      </x:font>
      <x:fill>
        <x:patternFill patternType="solid">
          <x:bgColor rgb="FFEAF2FB"/>
        </x:patternFill>
      </x:fill>
    </x:dxf>
    <x:dxf>
      <x:font>
        <x:b/>
        <x:color rgb="FF8A5A00"/>
      </x:font>
      <x:fill>
        <x:patternFill patternType="solid"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e6ba4192445fe" /><Relationship Type="http://schemas.openxmlformats.org/officeDocument/2006/relationships/theme" Target="/xl/theme/theme1.xml" Id="R0362e858057f46e5" /><Relationship Type="http://schemas.openxmlformats.org/officeDocument/2006/relationships/sharedStrings" Target="/xl/sharedStrings.xml" Id="Rbf876e156e4b45fd" /><Relationship Type="http://schemas.openxmlformats.org/officeDocument/2006/relationships/worksheet" Target="/xl/worksheets/sheet1.xml" Id="R682513311ac24643" /><Relationship Type="http://schemas.openxmlformats.org/officeDocument/2006/relationships/worksheet" Target="/xl/worksheets/sheet2.xml" Id="R857767d529324970" /><Relationship Type="http://schemas.openxmlformats.org/officeDocument/2006/relationships/worksheet" Target="/xl/worksheets/sheet3.xml" Id="R54900513d15a43e7" /><Relationship Type="http://schemas.openxmlformats.org/officeDocument/2006/relationships/worksheet" Target="/xl/worksheets/sheet4.xml" Id="Rcb56299639ff4a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.1100000143051147" hidden="0" customWidth="1"/>
    <x:col min="2" max="2" width="2.6700000762939453" hidden="0" customWidth="1"/>
    <x:col min="3" max="3" width="2.6700000762939453" hidden="0" customWidth="1"/>
    <x:col min="4" max="4" width="2.6700000762939453" hidden="0" customWidth="1"/>
    <x:col min="5" max="5" width="2.6700000762939453" hidden="0" customWidth="1"/>
    <x:col min="6" max="6" width="2.6700000762939453" hidden="0" customWidth="1"/>
    <x:col min="7" max="7" width="2.6700000762939453" hidden="0" customWidth="1"/>
    <x:col min="8" max="8" width="1.3300000429153442" hidden="0" customWidth="1"/>
    <x:col min="9" max="9" width="2.6700000762939453" hidden="0" customWidth="1"/>
    <x:col min="10" max="10" width="2.6700000762939453" hidden="0" customWidth="1"/>
    <x:col min="11" max="11" width="2.6700000762939453" hidden="0" customWidth="1"/>
    <x:col min="12" max="12" width="2.6700000762939453" hidden="0" customWidth="1"/>
    <x:col min="13" max="13" width="2.6700000762939453" hidden="0" customWidth="1"/>
    <x:col min="14" max="14" width="2.6700000762939453" hidden="0" customWidth="1"/>
    <x:col min="15" max="15" width="1.3300000429153442" hidden="0" customWidth="1"/>
    <x:col min="16" max="16" width="2.6700000762939453" hidden="0" customWidth="1"/>
    <x:col min="17" max="17" width="2.6700000762939453" hidden="0" customWidth="1"/>
    <x:col min="18" max="18" width="2.6700000762939453" hidden="0" customWidth="1"/>
    <x:col min="19" max="19" width="2.6700000762939453" hidden="0" customWidth="1"/>
    <x:col min="20" max="20" width="2.6700000762939453" hidden="0" customWidth="1"/>
    <x:col min="21" max="21" width="2.6700000762939453" hidden="0" customWidth="1"/>
    <x:col min="22" max="22" width="1.3300000429153442" hidden="0" customWidth="1"/>
    <x:col min="23" max="23" width="2.6700000762939453" hidden="0" customWidth="1"/>
    <x:col min="24" max="24" width="2.6700000762939453" hidden="0" customWidth="1"/>
    <x:col min="25" max="25" width="2.6700000762939453" hidden="0" customWidth="1"/>
    <x:col min="26" max="26" width="2.6700000762939453" hidden="0" customWidth="1"/>
    <x:col min="27" max="27" width="2.6700000762939453" hidden="0" customWidth="1"/>
    <x:col min="28" max="28" width="2.6700000762939453" hidden="0" customWidth="1"/>
    <x:col min="29" max="29" width="1.3300000429153442" hidden="0" customWidth="1"/>
    <x:col min="30" max="30" width="2.6700000762939453" hidden="0" customWidth="1"/>
    <x:col min="31" max="31" width="2.6700000762939453" hidden="0" customWidth="1"/>
    <x:col min="32" max="32" width="2.6700000762939453" hidden="0" customWidth="1"/>
    <x:col min="33" max="33" width="2.6700000762939453" hidden="0" customWidth="1"/>
    <x:col min="34" max="34" width="2.6700000762939453" hidden="0" customWidth="1"/>
    <x:col min="35" max="35" width="2.6700000762939453" hidden="0" customWidth="1"/>
    <x:col min="36" max="36" width="1.3300000429153442" hidden="0" customWidth="1"/>
    <x:col min="37" max="37" width="2.6700000762939453" hidden="0" customWidth="1"/>
    <x:col min="38" max="38" width="2.6700000762939453" hidden="0" customWidth="1"/>
    <x:col min="39" max="39" width="2.6700000762939453" hidden="0" customWidth="1"/>
    <x:col min="40" max="40" width="2.6700000762939453" hidden="0" customWidth="1"/>
    <x:col min="41" max="41" width="2.6700000762939453" hidden="0" customWidth="1"/>
    <x:col min="42" max="42" width="1.1100000143051147" hidden="0" customWidth="1"/>
  </x:cols>
  <x:sheetData>
    <x:row r="1" ht="28.5" customHeight="1">
      <x:c r="A1" s="9" t="str">
        <x:v>TIRI V1 前台架構圖</x:v>
      </x:c>
      <x:c r="B1" s="9" t="str">
        <x:v>TIRI V1 前台架構圖</x:v>
      </x:c>
      <x:c r="C1" s="9" t="str">
        <x:v>TIRI V1 前台架構圖</x:v>
      </x:c>
      <x:c r="D1" s="9" t="str">
        <x:v>TIRI V1 前台架構圖</x:v>
      </x:c>
      <x:c r="E1" s="9" t="str">
        <x:v>TIRI V1 前台架構圖</x:v>
      </x:c>
      <x:c r="F1" s="9" t="str">
        <x:v>TIRI V1 前台架構圖</x:v>
      </x:c>
      <x:c r="G1" s="9" t="str">
        <x:v>TIRI V1 前台架構圖</x:v>
      </x:c>
      <x:c r="H1" s="9" t="str">
        <x:v>TIRI V1 前台架構圖</x:v>
      </x:c>
      <x:c r="I1" s="9" t="str">
        <x:v>TIRI V1 前台架構圖</x:v>
      </x:c>
      <x:c r="J1" s="9" t="str">
        <x:v>TIRI V1 前台架構圖</x:v>
      </x:c>
      <x:c r="K1" s="9" t="str">
        <x:v>TIRI V1 前台架構圖</x:v>
      </x:c>
      <x:c r="L1" s="9" t="str">
        <x:v>TIRI V1 前台架構圖</x:v>
      </x:c>
      <x:c r="M1" s="9" t="str">
        <x:v>TIRI V1 前台架構圖</x:v>
      </x:c>
      <x:c r="N1" s="9" t="str">
        <x:v>TIRI V1 前台架構圖</x:v>
      </x:c>
      <x:c r="O1" s="9" t="str">
        <x:v>TIRI V1 前台架構圖</x:v>
      </x:c>
      <x:c r="P1" s="9" t="str">
        <x:v>TIRI V1 前台架構圖</x:v>
      </x:c>
      <x:c r="Q1" s="9" t="str">
        <x:v>TIRI V1 前台架構圖</x:v>
      </x:c>
      <x:c r="R1" s="9" t="str">
        <x:v>TIRI V1 前台架構圖</x:v>
      </x:c>
      <x:c r="S1" s="9" t="str">
        <x:v>TIRI V1 前台架構圖</x:v>
      </x:c>
      <x:c r="T1" s="9" t="str">
        <x:v>TIRI V1 前台架構圖</x:v>
      </x:c>
      <x:c r="U1" s="9" t="str">
        <x:v>TIRI V1 前台架構圖</x:v>
      </x:c>
      <x:c r="V1" s="9" t="str">
        <x:v>TIRI V1 前台架構圖</x:v>
      </x:c>
      <x:c r="W1" s="9" t="str">
        <x:v>TIRI V1 前台架構圖</x:v>
      </x:c>
      <x:c r="X1" s="9" t="str">
        <x:v>TIRI V1 前台架構圖</x:v>
      </x:c>
      <x:c r="Y1" s="9" t="str">
        <x:v>TIRI V1 前台架構圖</x:v>
      </x:c>
      <x:c r="Z1" s="9" t="str">
        <x:v>TIRI V1 前台架構圖</x:v>
      </x:c>
      <x:c r="AA1" s="9" t="str">
        <x:v>TIRI V1 前台架構圖</x:v>
      </x:c>
      <x:c r="AB1" s="9" t="str">
        <x:v>TIRI V1 前台架構圖</x:v>
      </x:c>
      <x:c r="AC1" s="9" t="str">
        <x:v>TIRI V1 前台架構圖</x:v>
      </x:c>
      <x:c r="AD1" s="9" t="str">
        <x:v>TIRI V1 前台架構圖</x:v>
      </x:c>
      <x:c r="AE1" s="9" t="str">
        <x:v>TIRI V1 前台架構圖</x:v>
      </x:c>
      <x:c r="AF1" s="9" t="str">
        <x:v>TIRI V1 前台架構圖</x:v>
      </x:c>
      <x:c r="AG1" s="9" t="str">
        <x:v>TIRI V1 前台架構圖</x:v>
      </x:c>
      <x:c r="AH1" s="9" t="str">
        <x:v>TIRI V1 前台架構圖</x:v>
      </x:c>
      <x:c r="AI1" s="9" t="str">
        <x:v>TIRI V1 前台架構圖</x:v>
      </x:c>
      <x:c r="AJ1" s="9" t="str">
        <x:v>TIRI V1 前台架構圖</x:v>
      </x:c>
      <x:c r="AK1" s="9" t="str">
        <x:v>TIRI V1 前台架構圖</x:v>
      </x:c>
      <x:c r="AL1" s="9" t="str">
        <x:v>TIRI V1 前台架構圖</x:v>
      </x:c>
      <x:c r="AM1" s="9" t="str">
        <x:v>TIRI V1 前台架構圖</x:v>
      </x:c>
      <x:c r="AN1" s="9" t="str">
        <x:v>TIRI V1 前台架構圖</x:v>
      </x:c>
      <x:c r="AO1" s="9" t="str">
        <x:v>TIRI V1 前台架構圖</x:v>
      </x:c>
      <x:c r="AP1" s="9" t="str">
        <x:v>TIRI V1 前台架構圖</x:v>
      </x:c>
    </x:row>
    <x:row r="2" ht="28.5" customHeight="1">
      <x:c r="A2" s="9" t="str">
        <x:v>TIRI V1 前台架構圖</x:v>
      </x:c>
      <x:c r="B2" s="9" t="str">
        <x:v>TIRI V1 前台架構圖</x:v>
      </x:c>
      <x:c r="C2" s="9" t="str">
        <x:v>TIRI V1 前台架構圖</x:v>
      </x:c>
      <x:c r="D2" s="9" t="str">
        <x:v>TIRI V1 前台架構圖</x:v>
      </x:c>
      <x:c r="E2" s="9" t="str">
        <x:v>TIRI V1 前台架構圖</x:v>
      </x:c>
      <x:c r="F2" s="9" t="str">
        <x:v>TIRI V1 前台架構圖</x:v>
      </x:c>
      <x:c r="G2" s="9" t="str">
        <x:v>TIRI V1 前台架構圖</x:v>
      </x:c>
      <x:c r="H2" s="9" t="str">
        <x:v>TIRI V1 前台架構圖</x:v>
      </x:c>
      <x:c r="I2" s="9" t="str">
        <x:v>TIRI V1 前台架構圖</x:v>
      </x:c>
      <x:c r="J2" s="9" t="str">
        <x:v>TIRI V1 前台架構圖</x:v>
      </x:c>
      <x:c r="K2" s="9" t="str">
        <x:v>TIRI V1 前台架構圖</x:v>
      </x:c>
      <x:c r="L2" s="9" t="str">
        <x:v>TIRI V1 前台架構圖</x:v>
      </x:c>
      <x:c r="M2" s="9" t="str">
        <x:v>TIRI V1 前台架構圖</x:v>
      </x:c>
      <x:c r="N2" s="9" t="str">
        <x:v>TIRI V1 前台架構圖</x:v>
      </x:c>
      <x:c r="O2" s="9" t="str">
        <x:v>TIRI V1 前台架構圖</x:v>
      </x:c>
      <x:c r="P2" s="9" t="str">
        <x:v>TIRI V1 前台架構圖</x:v>
      </x:c>
      <x:c r="Q2" s="9" t="str">
        <x:v>TIRI V1 前台架構圖</x:v>
      </x:c>
      <x:c r="R2" s="9" t="str">
        <x:v>TIRI V1 前台架構圖</x:v>
      </x:c>
      <x:c r="S2" s="9" t="str">
        <x:v>TIRI V1 前台架構圖</x:v>
      </x:c>
      <x:c r="T2" s="9" t="str">
        <x:v>TIRI V1 前台架構圖</x:v>
      </x:c>
      <x:c r="U2" s="9" t="str">
        <x:v>TIRI V1 前台架構圖</x:v>
      </x:c>
      <x:c r="V2" s="9" t="str">
        <x:v>TIRI V1 前台架構圖</x:v>
      </x:c>
      <x:c r="W2" s="9" t="str">
        <x:v>TIRI V1 前台架構圖</x:v>
      </x:c>
      <x:c r="X2" s="9" t="str">
        <x:v>TIRI V1 前台架構圖</x:v>
      </x:c>
      <x:c r="Y2" s="9" t="str">
        <x:v>TIRI V1 前台架構圖</x:v>
      </x:c>
      <x:c r="Z2" s="9" t="str">
        <x:v>TIRI V1 前台架構圖</x:v>
      </x:c>
      <x:c r="AA2" s="9" t="str">
        <x:v>TIRI V1 前台架構圖</x:v>
      </x:c>
      <x:c r="AB2" s="9" t="str">
        <x:v>TIRI V1 前台架構圖</x:v>
      </x:c>
      <x:c r="AC2" s="9" t="str">
        <x:v>TIRI V1 前台架構圖</x:v>
      </x:c>
      <x:c r="AD2" s="9" t="str">
        <x:v>TIRI V1 前台架構圖</x:v>
      </x:c>
      <x:c r="AE2" s="9" t="str">
        <x:v>TIRI V1 前台架構圖</x:v>
      </x:c>
      <x:c r="AF2" s="9" t="str">
        <x:v>TIRI V1 前台架構圖</x:v>
      </x:c>
      <x:c r="AG2" s="9" t="str">
        <x:v>TIRI V1 前台架構圖</x:v>
      </x:c>
      <x:c r="AH2" s="9" t="str">
        <x:v>TIRI V1 前台架構圖</x:v>
      </x:c>
      <x:c r="AI2" s="9" t="str">
        <x:v>TIRI V1 前台架構圖</x:v>
      </x:c>
      <x:c r="AJ2" s="9" t="str">
        <x:v>TIRI V1 前台架構圖</x:v>
      </x:c>
      <x:c r="AK2" s="9" t="str">
        <x:v>TIRI V1 前台架構圖</x:v>
      </x:c>
      <x:c r="AL2" s="9" t="str">
        <x:v>TIRI V1 前台架構圖</x:v>
      </x:c>
      <x:c r="AM2" s="9" t="str">
        <x:v>TIRI V1 前台架構圖</x:v>
      </x:c>
      <x:c r="AN2" s="9" t="str">
        <x:v>TIRI V1 前台架構圖</x:v>
      </x:c>
      <x:c r="AO2" s="9" t="str">
        <x:v>TIRI V1 前台架構圖</x:v>
      </x:c>
      <x:c r="AP2" s="9" t="str">
        <x:v>TIRI V1 前台架構圖</x:v>
      </x:c>
    </x:row>
    <x:row r="3" ht="18" customHeight="1">
      <x:c r="A3" s="10" t="str">
        <x:v>中英文共用相同架構與頁面模板；CMS 新增層級／頁面能力尚待內部確認</x:v>
      </x:c>
      <x:c r="B3" s="10" t="str">
        <x:v>中英文共用相同架構與頁面模板；CMS 新增層級／頁面能力尚待內部確認</x:v>
      </x:c>
      <x:c r="C3" s="10" t="str">
        <x:v>中英文共用相同架構與頁面模板；CMS 新增層級／頁面能力尚待內部確認</x:v>
      </x:c>
      <x:c r="D3" s="10" t="str">
        <x:v>中英文共用相同架構與頁面模板；CMS 新增層級／頁面能力尚待內部確認</x:v>
      </x:c>
      <x:c r="E3" s="10" t="str">
        <x:v>中英文共用相同架構與頁面模板；CMS 新增層級／頁面能力尚待內部確認</x:v>
      </x:c>
      <x:c r="F3" s="10" t="str">
        <x:v>中英文共用相同架構與頁面模板；CMS 新增層級／頁面能力尚待內部確認</x:v>
      </x:c>
      <x:c r="G3" s="10" t="str">
        <x:v>中英文共用相同架構與頁面模板；CMS 新增層級／頁面能力尚待內部確認</x:v>
      </x:c>
      <x:c r="H3" s="10" t="str">
        <x:v>中英文共用相同架構與頁面模板；CMS 新增層級／頁面能力尚待內部確認</x:v>
      </x:c>
      <x:c r="I3" s="10" t="str">
        <x:v>中英文共用相同架構與頁面模板；CMS 新增層級／頁面能力尚待內部確認</x:v>
      </x:c>
      <x:c r="J3" s="10" t="str">
        <x:v>中英文共用相同架構與頁面模板；CMS 新增層級／頁面能力尚待內部確認</x:v>
      </x:c>
      <x:c r="K3" s="10" t="str">
        <x:v>中英文共用相同架構與頁面模板；CMS 新增層級／頁面能力尚待內部確認</x:v>
      </x:c>
      <x:c r="L3" s="10" t="str">
        <x:v>中英文共用相同架構與頁面模板；CMS 新增層級／頁面能力尚待內部確認</x:v>
      </x:c>
      <x:c r="M3" s="10" t="str">
        <x:v>中英文共用相同架構與頁面模板；CMS 新增層級／頁面能力尚待內部確認</x:v>
      </x:c>
      <x:c r="N3" s="10" t="str">
        <x:v>中英文共用相同架構與頁面模板；CMS 新增層級／頁面能力尚待內部確認</x:v>
      </x:c>
      <x:c r="O3" s="10" t="str">
        <x:v>中英文共用相同架構與頁面模板；CMS 新增層級／頁面能力尚待內部確認</x:v>
      </x:c>
      <x:c r="P3" s="10" t="str">
        <x:v>中英文共用相同架構與頁面模板；CMS 新增層級／頁面能力尚待內部確認</x:v>
      </x:c>
      <x:c r="Q3" s="10" t="str">
        <x:v>中英文共用相同架構與頁面模板；CMS 新增層級／頁面能力尚待內部確認</x:v>
      </x:c>
      <x:c r="R3" s="10" t="str">
        <x:v>中英文共用相同架構與頁面模板；CMS 新增層級／頁面能力尚待內部確認</x:v>
      </x:c>
      <x:c r="S3" s="10" t="str">
        <x:v>中英文共用相同架構與頁面模板；CMS 新增層級／頁面能力尚待內部確認</x:v>
      </x:c>
      <x:c r="T3" s="10" t="str">
        <x:v>中英文共用相同架構與頁面模板；CMS 新增層級／頁面能力尚待內部確認</x:v>
      </x:c>
      <x:c r="U3" s="10" t="str">
        <x:v>中英文共用相同架構與頁面模板；CMS 新增層級／頁面能力尚待內部確認</x:v>
      </x:c>
      <x:c r="V3" s="10" t="str">
        <x:v>中英文共用相同架構與頁面模板；CMS 新增層級／頁面能力尚待內部確認</x:v>
      </x:c>
      <x:c r="W3" s="10" t="str">
        <x:v>中英文共用相同架構與頁面模板；CMS 新增層級／頁面能力尚待內部確認</x:v>
      </x:c>
      <x:c r="X3" s="10" t="str">
        <x:v>中英文共用相同架構與頁面模板；CMS 新增層級／頁面能力尚待內部確認</x:v>
      </x:c>
      <x:c r="Y3" s="10" t="str">
        <x:v>中英文共用相同架構與頁面模板；CMS 新增層級／頁面能力尚待內部確認</x:v>
      </x:c>
      <x:c r="Z3" s="10" t="str">
        <x:v>中英文共用相同架構與頁面模板；CMS 新增層級／頁面能力尚待內部確認</x:v>
      </x:c>
      <x:c r="AA3" s="10" t="str">
        <x:v>中英文共用相同架構與頁面模板；CMS 新增層級／頁面能力尚待內部確認</x:v>
      </x:c>
      <x:c r="AB3" s="10" t="str">
        <x:v>中英文共用相同架構與頁面模板；CMS 新增層級／頁面能力尚待內部確認</x:v>
      </x:c>
      <x:c r="AC3" s="10" t="str">
        <x:v>中英文共用相同架構與頁面模板；CMS 新增層級／頁面能力尚待內部確認</x:v>
      </x:c>
      <x:c r="AD3" s="10" t="str">
        <x:v>中英文共用相同架構與頁面模板；CMS 新增層級／頁面能力尚待內部確認</x:v>
      </x:c>
      <x:c r="AE3" s="10" t="str">
        <x:v>中英文共用相同架構與頁面模板；CMS 新增層級／頁面能力尚待內部確認</x:v>
      </x:c>
      <x:c r="AF3" s="10" t="str">
        <x:v>中英文共用相同架構與頁面模板；CMS 新增層級／頁面能力尚待內部確認</x:v>
      </x:c>
      <x:c r="AG3" s="10" t="str">
        <x:v>中英文共用相同架構與頁面模板；CMS 新增層級／頁面能力尚待內部確認</x:v>
      </x:c>
      <x:c r="AH3" s="10" t="str">
        <x:v>中英文共用相同架構與頁面模板；CMS 新增層級／頁面能力尚待內部確認</x:v>
      </x:c>
      <x:c r="AI3" s="10" t="str">
        <x:v>中英文共用相同架構與頁面模板；CMS 新增層級／頁面能力尚待內部確認</x:v>
      </x:c>
      <x:c r="AJ3" s="10" t="str">
        <x:v>中英文共用相同架構與頁面模板；CMS 新增層級／頁面能力尚待內部確認</x:v>
      </x:c>
      <x:c r="AK3" s="10" t="str">
        <x:v>中英文共用相同架構與頁面模板；CMS 新增層級／頁面能力尚待內部確認</x:v>
      </x:c>
      <x:c r="AL3" s="10" t="str">
        <x:v>中英文共用相同架構與頁面模板；CMS 新增層級／頁面能力尚待內部確認</x:v>
      </x:c>
      <x:c r="AM3" s="10" t="str">
        <x:v>中英文共用相同架構與頁面模板；CMS 新增層級／頁面能力尚待內部確認</x:v>
      </x:c>
      <x:c r="AN3" s="10" t="str">
        <x:v>中英文共用相同架構與頁面模板；CMS 新增層級／頁面能力尚待內部確認</x:v>
      </x:c>
      <x:c r="AO3" s="10" t="str">
        <x:v>中英文共用相同架構與頁面模板；CMS 新增層級／頁面能力尚待內部確認</x:v>
      </x:c>
      <x:c r="AP3" s="10" t="str">
        <x:v>中英文共用相同架構與頁面模板；CMS 新增層級／頁面能力尚待內部確認</x:v>
      </x:c>
    </x:row>
    <x:row r="4" ht="25.5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7" t="str">
        <x:v>首頁
Home</x:v>
      </x:c>
      <x:c r="R4" s="18" t="str">
        <x:v>首頁
Home</x:v>
      </x:c>
      <x:c r="S4" s="18" t="str">
        <x:v>首頁
Home</x:v>
      </x:c>
      <x:c r="T4" s="18" t="str">
        <x:v>首頁
Home</x:v>
      </x:c>
      <x:c r="U4" s="18" t="str">
        <x:v>首頁
Home</x:v>
      </x:c>
      <x:c r="V4" s="18" t="str">
        <x:v>首頁
Home</x:v>
      </x:c>
      <x:c r="W4" s="18" t="str">
        <x:v>首頁
Home</x:v>
      </x:c>
      <x:c r="X4" s="18" t="str">
        <x:v>首頁
Home</x:v>
      </x:c>
      <x:c r="Y4" s="18" t="str">
        <x:v>首頁
Home</x:v>
      </x:c>
      <x:c r="Z4" s="18" t="str">
        <x:v>首頁
Home</x:v>
      </x:c>
      <x:c r="AA4" s="19" t="str">
        <x:v>首頁
Home</x:v>
      </x:c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20" t="str">
        <x:v>首頁
Home</x:v>
      </x:c>
      <x:c r="R5" s="21" t="str">
        <x:v>首頁
Home</x:v>
      </x:c>
      <x:c r="S5" s="21" t="str">
        <x:v>首頁
Home</x:v>
      </x:c>
      <x:c r="T5" s="21" t="str">
        <x:v>首頁
Home</x:v>
      </x:c>
      <x:c r="U5" s="21" t="str">
        <x:v>首頁
Home</x:v>
      </x:c>
      <x:c r="V5" s="21" t="str">
        <x:v>首頁
Home</x:v>
      </x:c>
      <x:c r="W5" s="21" t="str">
        <x:v>首頁
Home</x:v>
      </x:c>
      <x:c r="X5" s="21" t="str">
        <x:v>首頁
Home</x:v>
      </x:c>
      <x:c r="Y5" s="21" t="str">
        <x:v>首頁
Home</x:v>
      </x:c>
      <x:c r="Z5" s="21" t="str">
        <x:v>首頁
Home</x:v>
      </x:c>
      <x:c r="AA5" s="22" t="str">
        <x:v>首頁
Home</x:v>
      </x:c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</x:row>
    <x:row r="6">
      <x:c r="A6" s="24" t="str">
        <x:v>↓ 六大主選單 / Six primary navigation groups</x:v>
      </x:c>
      <x:c r="B6" s="24" t="str">
        <x:v>↓ 六大主選單 / Six primary navigation groups</x:v>
      </x:c>
      <x:c r="C6" s="24" t="str">
        <x:v>↓ 六大主選單 / Six primary navigation groups</x:v>
      </x:c>
      <x:c r="D6" s="24" t="str">
        <x:v>↓ 六大主選單 / Six primary navigation groups</x:v>
      </x:c>
      <x:c r="E6" s="24" t="str">
        <x:v>↓ 六大主選單 / Six primary navigation groups</x:v>
      </x:c>
      <x:c r="F6" s="24" t="str">
        <x:v>↓ 六大主選單 / Six primary navigation groups</x:v>
      </x:c>
      <x:c r="G6" s="24" t="str">
        <x:v>↓ 六大主選單 / Six primary navigation groups</x:v>
      </x:c>
      <x:c r="H6" s="24" t="str">
        <x:v>↓ 六大主選單 / Six primary navigation groups</x:v>
      </x:c>
      <x:c r="I6" s="24" t="str">
        <x:v>↓ 六大主選單 / Six primary navigation groups</x:v>
      </x:c>
      <x:c r="J6" s="24" t="str">
        <x:v>↓ 六大主選單 / Six primary navigation groups</x:v>
      </x:c>
      <x:c r="K6" s="24" t="str">
        <x:v>↓ 六大主選單 / Six primary navigation groups</x:v>
      </x:c>
      <x:c r="L6" s="24" t="str">
        <x:v>↓ 六大主選單 / Six primary navigation groups</x:v>
      </x:c>
      <x:c r="M6" s="24" t="str">
        <x:v>↓ 六大主選單 / Six primary navigation groups</x:v>
      </x:c>
      <x:c r="N6" s="24" t="str">
        <x:v>↓ 六大主選單 / Six primary navigation groups</x:v>
      </x:c>
      <x:c r="O6" s="24" t="str">
        <x:v>↓ 六大主選單 / Six primary navigation groups</x:v>
      </x:c>
      <x:c r="P6" s="24" t="str">
        <x:v>↓ 六大主選單 / Six primary navigation groups</x:v>
      </x:c>
      <x:c r="Q6" s="24" t="str">
        <x:v>↓ 六大主選單 / Six primary navigation groups</x:v>
      </x:c>
      <x:c r="R6" s="24" t="str">
        <x:v>↓ 六大主選單 / Six primary navigation groups</x:v>
      </x:c>
      <x:c r="S6" s="24" t="str">
        <x:v>↓ 六大主選單 / Six primary navigation groups</x:v>
      </x:c>
      <x:c r="T6" s="24" t="str">
        <x:v>↓ 六大主選單 / Six primary navigation groups</x:v>
      </x:c>
      <x:c r="U6" s="24" t="str">
        <x:v>↓ 六大主選單 / Six primary navigation groups</x:v>
      </x:c>
      <x:c r="V6" s="24" t="str">
        <x:v>↓ 六大主選單 / Six primary navigation groups</x:v>
      </x:c>
      <x:c r="W6" s="24" t="str">
        <x:v>↓ 六大主選單 / Six primary navigation groups</x:v>
      </x:c>
      <x:c r="X6" s="24" t="str">
        <x:v>↓ 六大主選單 / Six primary navigation groups</x:v>
      </x:c>
      <x:c r="Y6" s="24" t="str">
        <x:v>↓ 六大主選單 / Six primary navigation groups</x:v>
      </x:c>
      <x:c r="Z6" s="24" t="str">
        <x:v>↓ 六大主選單 / Six primary navigation groups</x:v>
      </x:c>
      <x:c r="AA6" s="24" t="str">
        <x:v>↓ 六大主選單 / Six primary navigation groups</x:v>
      </x:c>
      <x:c r="AB6" s="24" t="str">
        <x:v>↓ 六大主選單 / Six primary navigation groups</x:v>
      </x:c>
      <x:c r="AC6" s="24" t="str">
        <x:v>↓ 六大主選單 / Six primary navigation groups</x:v>
      </x:c>
      <x:c r="AD6" s="24" t="str">
        <x:v>↓ 六大主選單 / Six primary navigation groups</x:v>
      </x:c>
      <x:c r="AE6" s="24" t="str">
        <x:v>↓ 六大主選單 / Six primary navigation groups</x:v>
      </x:c>
      <x:c r="AF6" s="24" t="str">
        <x:v>↓ 六大主選單 / Six primary navigation groups</x:v>
      </x:c>
      <x:c r="AG6" s="24" t="str">
        <x:v>↓ 六大主選單 / Six primary navigation groups</x:v>
      </x:c>
      <x:c r="AH6" s="24" t="str">
        <x:v>↓ 六大主選單 / Six primary navigation groups</x:v>
      </x:c>
      <x:c r="AI6" s="24" t="str">
        <x:v>↓ 六大主選單 / Six primary navigation groups</x:v>
      </x:c>
      <x:c r="AJ6" s="24" t="str">
        <x:v>↓ 六大主選單 / Six primary navigation groups</x:v>
      </x:c>
      <x:c r="AK6" s="24" t="str">
        <x:v>↓ 六大主選單 / Six primary navigation groups</x:v>
      </x:c>
      <x:c r="AL6" s="24" t="str">
        <x:v>↓ 六大主選單 / Six primary navigation groups</x:v>
      </x:c>
      <x:c r="AM6" s="24" t="str">
        <x:v>↓ 六大主選單 / Six primary navigation groups</x:v>
      </x:c>
      <x:c r="AN6" s="24" t="str">
        <x:v>↓ 六大主選單 / Six primary navigation groups</x:v>
      </x:c>
      <x:c r="AO6" s="24" t="str">
        <x:v>↓ 六大主選單 / Six primary navigation groups</x:v>
      </x:c>
      <x:c r="AP6" s="24" t="str">
        <x:v>↓ 六大主選單 / Six primary navigation groups</x:v>
      </x:c>
    </x:row>
    <x:row r="7" ht="25.5" customHeight="1">
      <x:c r="A7" s="11"/>
      <x:c r="B7" s="30" t="str">
        <x:v>關於 TIRI</x:v>
      </x:c>
      <x:c r="C7" s="31" t="str">
        <x:v>關於 TIRI</x:v>
      </x:c>
      <x:c r="D7" s="31" t="str">
        <x:v>關於 TIRI</x:v>
      </x:c>
      <x:c r="E7" s="31" t="str">
        <x:v>關於 TIRI</x:v>
      </x:c>
      <x:c r="F7" s="31" t="str">
        <x:v>關於 TIRI</x:v>
      </x:c>
      <x:c r="G7" s="32" t="str">
        <x:v>關於 TIRI</x:v>
      </x:c>
      <x:c r="H7" s="11"/>
      <x:c r="I7" s="30" t="str">
        <x:v>活動課程</x:v>
      </x:c>
      <x:c r="J7" s="31" t="str">
        <x:v>活動課程</x:v>
      </x:c>
      <x:c r="K7" s="31" t="str">
        <x:v>活動課程</x:v>
      </x:c>
      <x:c r="L7" s="31" t="str">
        <x:v>活動課程</x:v>
      </x:c>
      <x:c r="M7" s="31" t="str">
        <x:v>活動課程</x:v>
      </x:c>
      <x:c r="N7" s="32" t="str">
        <x:v>活動課程</x:v>
      </x:c>
      <x:c r="O7" s="11"/>
      <x:c r="P7" s="30" t="str">
        <x:v>知識資源</x:v>
      </x:c>
      <x:c r="Q7" s="31" t="str">
        <x:v>知識資源</x:v>
      </x:c>
      <x:c r="R7" s="31" t="str">
        <x:v>知識資源</x:v>
      </x:c>
      <x:c r="S7" s="31" t="str">
        <x:v>知識資源</x:v>
      </x:c>
      <x:c r="T7" s="31" t="str">
        <x:v>知識資源</x:v>
      </x:c>
      <x:c r="U7" s="32" t="str">
        <x:v>知識資源</x:v>
      </x:c>
      <x:c r="V7" s="11"/>
      <x:c r="W7" s="30" t="str">
        <x:v>會員服務</x:v>
      </x:c>
      <x:c r="X7" s="31" t="str">
        <x:v>會員服務</x:v>
      </x:c>
      <x:c r="Y7" s="31" t="str">
        <x:v>會員服務</x:v>
      </x:c>
      <x:c r="Z7" s="31" t="str">
        <x:v>會員服務</x:v>
      </x:c>
      <x:c r="AA7" s="31" t="str">
        <x:v>會員服務</x:v>
      </x:c>
      <x:c r="AB7" s="32" t="str">
        <x:v>會員服務</x:v>
      </x:c>
      <x:c r="AC7" s="11"/>
      <x:c r="AD7" s="30" t="str">
        <x:v>最新消息</x:v>
      </x:c>
      <x:c r="AE7" s="31" t="str">
        <x:v>最新消息</x:v>
      </x:c>
      <x:c r="AF7" s="31" t="str">
        <x:v>最新消息</x:v>
      </x:c>
      <x:c r="AG7" s="31" t="str">
        <x:v>最新消息</x:v>
      </x:c>
      <x:c r="AH7" s="31" t="str">
        <x:v>最新消息</x:v>
      </x:c>
      <x:c r="AI7" s="32" t="str">
        <x:v>最新消息</x:v>
      </x:c>
      <x:c r="AJ7" s="11"/>
      <x:c r="AK7" s="30" t="str">
        <x:v>合作夥伴</x:v>
      </x:c>
      <x:c r="AL7" s="31" t="str">
        <x:v>合作夥伴</x:v>
      </x:c>
      <x:c r="AM7" s="31" t="str">
        <x:v>合作夥伴</x:v>
      </x:c>
      <x:c r="AN7" s="31" t="str">
        <x:v>合作夥伴</x:v>
      </x:c>
      <x:c r="AO7" s="31" t="str">
        <x:v>合作夥伴</x:v>
      </x:c>
      <x:c r="AP7" s="32" t="str">
        <x:v>合作夥伴</x:v>
      </x:c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</x:row>
    <x:row r="9" ht="25.5" customHeight="1">
      <x:c r="A9" s="11"/>
      <x:c r="B9" s="38" t="str">
        <x:v>協會</x:v>
      </x:c>
      <x:c r="C9" s="39" t="str">
        <x:v>協會</x:v>
      </x:c>
      <x:c r="D9" s="39" t="str">
        <x:v>協會</x:v>
      </x:c>
      <x:c r="E9" s="39" t="str">
        <x:v>協會</x:v>
      </x:c>
      <x:c r="F9" s="39" t="str">
        <x:v>協會</x:v>
      </x:c>
      <x:c r="G9" s="40" t="str">
        <x:v>協會</x:v>
      </x:c>
      <x:c r="H9" s="11"/>
      <x:c r="I9" s="38" t="str">
        <x:v>活動與獎項</x:v>
      </x:c>
      <x:c r="J9" s="39" t="str">
        <x:v>活動與獎項</x:v>
      </x:c>
      <x:c r="K9" s="39" t="str">
        <x:v>活動與獎項</x:v>
      </x:c>
      <x:c r="L9" s="39" t="str">
        <x:v>活動與獎項</x:v>
      </x:c>
      <x:c r="M9" s="39" t="str">
        <x:v>活動與獎項</x:v>
      </x:c>
      <x:c r="N9" s="40" t="str">
        <x:v>活動與獎項</x:v>
      </x:c>
      <x:c r="O9" s="11"/>
      <x:c r="P9" s="38" t="str">
        <x:v>刊物與專欄</x:v>
      </x:c>
      <x:c r="Q9" s="39" t="str">
        <x:v>刊物與專欄</x:v>
      </x:c>
      <x:c r="R9" s="39" t="str">
        <x:v>刊物與專欄</x:v>
      </x:c>
      <x:c r="S9" s="39" t="str">
        <x:v>刊物與專欄</x:v>
      </x:c>
      <x:c r="T9" s="39" t="str">
        <x:v>刊物與專欄</x:v>
      </x:c>
      <x:c r="U9" s="40" t="str">
        <x:v>刊物與專欄</x:v>
      </x:c>
      <x:c r="V9" s="11"/>
      <x:c r="W9" s="38" t="str">
        <x:v>會員</x:v>
      </x:c>
      <x:c r="X9" s="39" t="str">
        <x:v>會員</x:v>
      </x:c>
      <x:c r="Y9" s="39" t="str">
        <x:v>會員</x:v>
      </x:c>
      <x:c r="Z9" s="39" t="str">
        <x:v>會員</x:v>
      </x:c>
      <x:c r="AA9" s="39" t="str">
        <x:v>會員</x:v>
      </x:c>
      <x:c r="AB9" s="40" t="str">
        <x:v>會員</x:v>
      </x:c>
      <x:c r="AC9" s="11"/>
      <x:c r="AD9" s="38" t="str">
        <x:v>消息</x:v>
      </x:c>
      <x:c r="AE9" s="39" t="str">
        <x:v>消息</x:v>
      </x:c>
      <x:c r="AF9" s="39" t="str">
        <x:v>消息</x:v>
      </x:c>
      <x:c r="AG9" s="39" t="str">
        <x:v>消息</x:v>
      </x:c>
      <x:c r="AH9" s="39" t="str">
        <x:v>消息</x:v>
      </x:c>
      <x:c r="AI9" s="40" t="str">
        <x:v>消息</x:v>
      </x:c>
      <x:c r="AJ9" s="11"/>
      <x:c r="AK9" s="38" t="str">
        <x:v>夥伴與贊助</x:v>
      </x:c>
      <x:c r="AL9" s="39" t="str">
        <x:v>夥伴與贊助</x:v>
      </x:c>
      <x:c r="AM9" s="39" t="str">
        <x:v>夥伴與贊助</x:v>
      </x:c>
      <x:c r="AN9" s="39" t="str">
        <x:v>夥伴與贊助</x:v>
      </x:c>
      <x:c r="AO9" s="39" t="str">
        <x:v>夥伴與贊助</x:v>
      </x:c>
      <x:c r="AP9" s="40" t="str">
        <x:v>夥伴與贊助</x:v>
      </x:c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</x:row>
    <x:row r="11" ht="28.5" customHeight="1">
      <x:c r="A11" s="11"/>
      <x:c r="B11" s="46" t="str">
        <x:v>協會使命／創會緣起</x:v>
      </x:c>
      <x:c r="C11" s="47" t="str">
        <x:v>協會使命／創會緣起</x:v>
      </x:c>
      <x:c r="D11" s="47" t="str">
        <x:v>協會使命／創會緣起</x:v>
      </x:c>
      <x:c r="E11" s="47" t="str">
        <x:v>協會使命／創會緣起</x:v>
      </x:c>
      <x:c r="F11" s="47" t="str">
        <x:v>協會使命／創會緣起</x:v>
      </x:c>
      <x:c r="G11" s="48" t="str">
        <x:v>協會使命／創會緣起</x:v>
      </x:c>
      <x:c r="H11" s="11"/>
      <x:c r="I11" s="46" t="str">
        <x:v>焦點與近期課程</x:v>
      </x:c>
      <x:c r="J11" s="47" t="str">
        <x:v>焦點與近期課程</x:v>
      </x:c>
      <x:c r="K11" s="47" t="str">
        <x:v>焦點與近期課程</x:v>
      </x:c>
      <x:c r="L11" s="47" t="str">
        <x:v>焦點與近期課程</x:v>
      </x:c>
      <x:c r="M11" s="47" t="str">
        <x:v>焦點與近期課程</x:v>
      </x:c>
      <x:c r="N11" s="48" t="str">
        <x:v>焦點與近期課程</x:v>
      </x:c>
      <x:c r="O11" s="11"/>
      <x:c r="P11" s="46" t="str">
        <x:v>知識總覽</x:v>
      </x:c>
      <x:c r="Q11" s="47" t="str">
        <x:v>知識總覽</x:v>
      </x:c>
      <x:c r="R11" s="47" t="str">
        <x:v>知識總覽</x:v>
      </x:c>
      <x:c r="S11" s="47" t="str">
        <x:v>知識總覽</x:v>
      </x:c>
      <x:c r="T11" s="47" t="str">
        <x:v>知識總覽</x:v>
      </x:c>
      <x:c r="U11" s="48" t="str">
        <x:v>知識總覽</x:v>
      </x:c>
      <x:c r="V11" s="11"/>
      <x:c r="W11" s="46" t="str">
        <x:v>會員類別與會費</x:v>
      </x:c>
      <x:c r="X11" s="47" t="str">
        <x:v>會員類別與會費</x:v>
      </x:c>
      <x:c r="Y11" s="47" t="str">
        <x:v>會員類別與會費</x:v>
      </x:c>
      <x:c r="Z11" s="47" t="str">
        <x:v>會員類別與會費</x:v>
      </x:c>
      <x:c r="AA11" s="47" t="str">
        <x:v>會員類別與會費</x:v>
      </x:c>
      <x:c r="AB11" s="48" t="str">
        <x:v>會員類別與會費</x:v>
      </x:c>
      <x:c r="AC11" s="11"/>
      <x:c r="AD11" s="46" t="str">
        <x:v>協會消息</x:v>
      </x:c>
      <x:c r="AE11" s="47" t="str">
        <x:v>協會消息</x:v>
      </x:c>
      <x:c r="AF11" s="47" t="str">
        <x:v>協會消息</x:v>
      </x:c>
      <x:c r="AG11" s="47" t="str">
        <x:v>協會消息</x:v>
      </x:c>
      <x:c r="AH11" s="47" t="str">
        <x:v>協會消息</x:v>
      </x:c>
      <x:c r="AI11" s="48" t="str">
        <x:v>協會消息</x:v>
      </x:c>
      <x:c r="AJ11" s="11"/>
      <x:c r="AK11" s="46" t="str">
        <x:v>合作夥伴總覽</x:v>
      </x:c>
      <x:c r="AL11" s="47" t="str">
        <x:v>合作夥伴總覽</x:v>
      </x:c>
      <x:c r="AM11" s="47" t="str">
        <x:v>合作夥伴總覽</x:v>
      </x:c>
      <x:c r="AN11" s="47" t="str">
        <x:v>合作夥伴總覽</x:v>
      </x:c>
      <x:c r="AO11" s="47" t="str">
        <x:v>合作夥伴總覽</x:v>
      </x:c>
      <x:c r="AP11" s="48" t="str">
        <x:v>合作夥伴總覽</x:v>
      </x:c>
    </x:row>
    <x:row r="12" ht="28.5" customHeight="1">
      <x:c r="A12" s="11"/>
      <x:c r="B12" s="46" t="str">
        <x:v>第三屆理監事</x:v>
      </x:c>
      <x:c r="C12" s="47" t="str">
        <x:v>第三屆理監事</x:v>
      </x:c>
      <x:c r="D12" s="47" t="str">
        <x:v>第三屆理監事</x:v>
      </x:c>
      <x:c r="E12" s="47" t="str">
        <x:v>第三屆理監事</x:v>
      </x:c>
      <x:c r="F12" s="47" t="str">
        <x:v>第三屆理監事</x:v>
      </x:c>
      <x:c r="G12" s="48" t="str">
        <x:v>第三屆理監事</x:v>
      </x:c>
      <x:c r="H12" s="11"/>
      <x:c r="I12" s="46" t="str">
        <x:v>精彩回顧</x:v>
      </x:c>
      <x:c r="J12" s="47" t="str">
        <x:v>精彩回顧</x:v>
      </x:c>
      <x:c r="K12" s="47" t="str">
        <x:v>精彩回顧</x:v>
      </x:c>
      <x:c r="L12" s="47" t="str">
        <x:v>精彩回顧</x:v>
      </x:c>
      <x:c r="M12" s="47" t="str">
        <x:v>精彩回顧</x:v>
      </x:c>
      <x:c r="N12" s="48" t="str">
        <x:v>精彩回顧</x:v>
      </x:c>
      <x:c r="O12" s="11"/>
      <x:c r="P12" s="46" t="str">
        <x:v>證券雙月刊專欄</x:v>
      </x:c>
      <x:c r="Q12" s="47" t="str">
        <x:v>證券雙月刊專欄</x:v>
      </x:c>
      <x:c r="R12" s="47" t="str">
        <x:v>證券雙月刊專欄</x:v>
      </x:c>
      <x:c r="S12" s="47" t="str">
        <x:v>證券雙月刊專欄</x:v>
      </x:c>
      <x:c r="T12" s="47" t="str">
        <x:v>證券雙月刊專欄</x:v>
      </x:c>
      <x:c r="U12" s="48" t="str">
        <x:v>證券雙月刊專欄</x:v>
      </x:c>
      <x:c r="V12" s="11"/>
      <x:c r="W12" s="46" t="str">
        <x:v>會員專屬優惠</x:v>
      </x:c>
      <x:c r="X12" s="47" t="str">
        <x:v>會員專屬優惠</x:v>
      </x:c>
      <x:c r="Y12" s="47" t="str">
        <x:v>會員專屬優惠</x:v>
      </x:c>
      <x:c r="Z12" s="47" t="str">
        <x:v>會員專屬優惠</x:v>
      </x:c>
      <x:c r="AA12" s="47" t="str">
        <x:v>會員專屬優惠</x:v>
      </x:c>
      <x:c r="AB12" s="48" t="str">
        <x:v>會員專屬優惠</x:v>
      </x:c>
      <x:c r="AC12" s="11"/>
      <x:c r="AD12" s="46" t="str">
        <x:v>精彩回顧</x:v>
      </x:c>
      <x:c r="AE12" s="47" t="str">
        <x:v>精彩回顧</x:v>
      </x:c>
      <x:c r="AF12" s="47" t="str">
        <x:v>精彩回顧</x:v>
      </x:c>
      <x:c r="AG12" s="47" t="str">
        <x:v>精彩回顧</x:v>
      </x:c>
      <x:c r="AH12" s="47" t="str">
        <x:v>精彩回顧</x:v>
      </x:c>
      <x:c r="AI12" s="48" t="str">
        <x:v>精彩回顧</x:v>
      </x:c>
      <x:c r="AJ12" s="11"/>
      <x:c r="AK12" s="46" t="str">
        <x:v>贊助方案</x:v>
      </x:c>
      <x:c r="AL12" s="47" t="str">
        <x:v>贊助方案</x:v>
      </x:c>
      <x:c r="AM12" s="47" t="str">
        <x:v>贊助方案</x:v>
      </x:c>
      <x:c r="AN12" s="47" t="str">
        <x:v>贊助方案</x:v>
      </x:c>
      <x:c r="AO12" s="47" t="str">
        <x:v>贊助方案</x:v>
      </x:c>
      <x:c r="AP12" s="48" t="str">
        <x:v>贊助方案</x:v>
      </x:c>
    </x:row>
    <x:row r="13" ht="28.5" customHeight="1">
      <x:c r="A13" s="11"/>
      <x:c r="B13" s="46" t="str">
        <x:v>歷屆理監事</x:v>
      </x:c>
      <x:c r="C13" s="47" t="str">
        <x:v>歷屆理監事</x:v>
      </x:c>
      <x:c r="D13" s="47" t="str">
        <x:v>歷屆理監事</x:v>
      </x:c>
      <x:c r="E13" s="47" t="str">
        <x:v>歷屆理監事</x:v>
      </x:c>
      <x:c r="F13" s="47" t="str">
        <x:v>歷屆理監事</x:v>
      </x:c>
      <x:c r="G13" s="48" t="str">
        <x:v>歷屆理監事</x:v>
      </x:c>
      <x:c r="H13" s="11"/>
      <x:c r="I13" s="46" t="str">
        <x:v>TIRI Awards</x:v>
      </x:c>
      <x:c r="J13" s="47" t="str">
        <x:v>TIRI Awards</x:v>
      </x:c>
      <x:c r="K13" s="47" t="str">
        <x:v>TIRI Awards</x:v>
      </x:c>
      <x:c r="L13" s="47" t="str">
        <x:v>TIRI Awards</x:v>
      </x:c>
      <x:c r="M13" s="47" t="str">
        <x:v>TIRI Awards</x:v>
      </x:c>
      <x:c r="N13" s="48" t="str">
        <x:v>TIRI Awards</x:v>
      </x:c>
      <x:c r="O13" s="11"/>
      <x:c r="P13" s="46" t="str">
        <x:v>TIRI 年刊</x:v>
      </x:c>
      <x:c r="Q13" s="47" t="str">
        <x:v>TIRI 年刊</x:v>
      </x:c>
      <x:c r="R13" s="47" t="str">
        <x:v>TIRI 年刊</x:v>
      </x:c>
      <x:c r="S13" s="47" t="str">
        <x:v>TIRI 年刊</x:v>
      </x:c>
      <x:c r="T13" s="47" t="str">
        <x:v>TIRI 年刊</x:v>
      </x:c>
      <x:c r="U13" s="48" t="str">
        <x:v>TIRI 年刊</x:v>
      </x:c>
      <x:c r="V13" s="11"/>
      <x:c r="W13" s="46" t="str">
        <x:v>加入會員</x:v>
      </x:c>
      <x:c r="X13" s="47" t="str">
        <x:v>加入會員</x:v>
      </x:c>
      <x:c r="Y13" s="47" t="str">
        <x:v>加入會員</x:v>
      </x:c>
      <x:c r="Z13" s="47" t="str">
        <x:v>加入會員</x:v>
      </x:c>
      <x:c r="AA13" s="47" t="str">
        <x:v>加入會員</x:v>
      </x:c>
      <x:c r="AB13" s="48" t="str">
        <x:v>加入會員</x:v>
      </x:c>
      <x:c r="AC13" s="11"/>
      <x:c r="AD13" s="11"/>
      <x:c r="AE13" s="11"/>
      <x:c r="AF13" s="11"/>
      <x:c r="AG13" s="11"/>
      <x:c r="AH13" s="11"/>
      <x:c r="AI13" s="11"/>
      <x:c r="AJ13" s="11"/>
      <x:c r="AK13" s="46" t="str">
        <x:v>聯絡我們</x:v>
      </x:c>
      <x:c r="AL13" s="47" t="str">
        <x:v>聯絡我們</x:v>
      </x:c>
      <x:c r="AM13" s="47" t="str">
        <x:v>聯絡我們</x:v>
      </x:c>
      <x:c r="AN13" s="47" t="str">
        <x:v>聯絡我們</x:v>
      </x:c>
      <x:c r="AO13" s="47" t="str">
        <x:v>聯絡我們</x:v>
      </x:c>
      <x:c r="AP13" s="48" t="str">
        <x:v>聯絡我們</x:v>
      </x:c>
    </x:row>
    <x:row r="14" ht="28.5" customHeight="1">
      <x:c r="A14" s="11"/>
      <x:c r="B14" s="46" t="str">
        <x:v>功能委員會</x:v>
      </x:c>
      <x:c r="C14" s="47" t="str">
        <x:v>功能委員會</x:v>
      </x:c>
      <x:c r="D14" s="47" t="str">
        <x:v>功能委員會</x:v>
      </x:c>
      <x:c r="E14" s="47" t="str">
        <x:v>功能委員會</x:v>
      </x:c>
      <x:c r="F14" s="47" t="str">
        <x:v>功能委員會</x:v>
      </x:c>
      <x:c r="G14" s="48" t="str">
        <x:v>功能委員會</x:v>
      </x:c>
      <x:c r="H14" s="11"/>
      <x:c r="I14" s="46" t="str">
        <x:v>TIRI 潛力進展獎</x:v>
      </x:c>
      <x:c r="J14" s="47" t="str">
        <x:v>TIRI 潛力進展獎</x:v>
      </x:c>
      <x:c r="K14" s="47" t="str">
        <x:v>TIRI 潛力進展獎</x:v>
      </x:c>
      <x:c r="L14" s="47" t="str">
        <x:v>TIRI 潛力進展獎</x:v>
      </x:c>
      <x:c r="M14" s="47" t="str">
        <x:v>TIRI 潛力進展獎</x:v>
      </x:c>
      <x:c r="N14" s="48" t="str">
        <x:v>TIRI 潛力進展獎</x:v>
      </x:c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</x:row>
    <x:row r="16" ht="25.5" customHeight="1">
      <x:c r="A16" s="11"/>
      <x:c r="B16" s="38" t="str">
        <x:v>服務與認證</x:v>
      </x:c>
      <x:c r="C16" s="39" t="str">
        <x:v>服務與認證</x:v>
      </x:c>
      <x:c r="D16" s="39" t="str">
        <x:v>服務與認證</x:v>
      </x:c>
      <x:c r="E16" s="39" t="str">
        <x:v>服務與認證</x:v>
      </x:c>
      <x:c r="F16" s="39" t="str">
        <x:v>服務與認證</x:v>
      </x:c>
      <x:c r="G16" s="40" t="str">
        <x:v>服務與認證</x:v>
      </x:c>
      <x:c r="H16" s="11"/>
      <x:c r="I16" s="38" t="str">
        <x:v>專業課程與證照</x:v>
      </x:c>
      <x:c r="J16" s="39" t="str">
        <x:v>專業課程與證照</x:v>
      </x:c>
      <x:c r="K16" s="39" t="str">
        <x:v>專業課程與證照</x:v>
      </x:c>
      <x:c r="L16" s="39" t="str">
        <x:v>專業課程與證照</x:v>
      </x:c>
      <x:c r="M16" s="39" t="str">
        <x:v>專業課程與證照</x:v>
      </x:c>
      <x:c r="N16" s="40" t="str">
        <x:v>專業課程與證照</x:v>
      </x:c>
      <x:c r="O16" s="11"/>
      <x:c r="P16" s="38" t="str">
        <x:v>文章與專訪</x:v>
      </x:c>
      <x:c r="Q16" s="39" t="str">
        <x:v>文章與專訪</x:v>
      </x:c>
      <x:c r="R16" s="39" t="str">
        <x:v>文章與專訪</x:v>
      </x:c>
      <x:c r="S16" s="39" t="str">
        <x:v>文章與專訪</x:v>
      </x:c>
      <x:c r="T16" s="39" t="str">
        <x:v>文章與專訪</x:v>
      </x:c>
      <x:c r="U16" s="40" t="str">
        <x:v>文章與專訪</x:v>
      </x:c>
      <x:c r="V16" s="11"/>
      <x:c r="W16" s="38" t="str">
        <x:v>治理服務</x:v>
      </x:c>
      <x:c r="X16" s="39" t="str">
        <x:v>治理服務</x:v>
      </x:c>
      <x:c r="Y16" s="39" t="str">
        <x:v>治理服務</x:v>
      </x:c>
      <x:c r="Z16" s="39" t="str">
        <x:v>治理服務</x:v>
      </x:c>
      <x:c r="AA16" s="39" t="str">
        <x:v>治理服務</x:v>
      </x:c>
      <x:c r="AB16" s="40" t="str">
        <x:v>治理服務</x:v>
      </x:c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</x:row>
    <x:row r="18" ht="28.5" customHeight="1">
      <x:c r="A18" s="11"/>
      <x:c r="B18" s="46" t="str">
        <x:v>功能與服務</x:v>
      </x:c>
      <x:c r="C18" s="47" t="str">
        <x:v>功能與服務</x:v>
      </x:c>
      <x:c r="D18" s="47" t="str">
        <x:v>功能與服務</x:v>
      </x:c>
      <x:c r="E18" s="47" t="str">
        <x:v>功能與服務</x:v>
      </x:c>
      <x:c r="F18" s="47" t="str">
        <x:v>功能與服務</x:v>
      </x:c>
      <x:c r="G18" s="48" t="str">
        <x:v>功能與服務</x:v>
      </x:c>
      <x:c r="H18" s="11"/>
      <x:c r="I18" s="46" t="str">
        <x:v>TIRIC IR 專業實戰班</x:v>
      </x:c>
      <x:c r="J18" s="47" t="str">
        <x:v>TIRIC IR 專業實戰班</x:v>
      </x:c>
      <x:c r="K18" s="47" t="str">
        <x:v>TIRIC IR 專業實戰班</x:v>
      </x:c>
      <x:c r="L18" s="47" t="str">
        <x:v>TIRIC IR 專業實戰班</x:v>
      </x:c>
      <x:c r="M18" s="47" t="str">
        <x:v>TIRIC IR 專業實戰班</x:v>
      </x:c>
      <x:c r="N18" s="48" t="str">
        <x:v>TIRIC IR 專業實戰班</x:v>
      </x:c>
      <x:c r="O18" s="11"/>
      <x:c r="P18" s="46" t="str">
        <x:v>專文分享</x:v>
      </x:c>
      <x:c r="Q18" s="47" t="str">
        <x:v>專文分享</x:v>
      </x:c>
      <x:c r="R18" s="47" t="str">
        <x:v>專文分享</x:v>
      </x:c>
      <x:c r="S18" s="47" t="str">
        <x:v>專文分享</x:v>
      </x:c>
      <x:c r="T18" s="47" t="str">
        <x:v>專文分享</x:v>
      </x:c>
      <x:c r="U18" s="48" t="str">
        <x:v>專文分享</x:v>
      </x:c>
      <x:c r="V18" s="11"/>
      <x:c r="W18" s="46" t="str">
        <x:v>董事會績效評估</x:v>
      </x:c>
      <x:c r="X18" s="47" t="str">
        <x:v>董事會績效評估</x:v>
      </x:c>
      <x:c r="Y18" s="47" t="str">
        <x:v>董事會績效評估</x:v>
      </x:c>
      <x:c r="Z18" s="47" t="str">
        <x:v>董事會績效評估</x:v>
      </x:c>
      <x:c r="AA18" s="47" t="str">
        <x:v>董事會績效評估</x:v>
      </x:c>
      <x:c r="AB18" s="48" t="str">
        <x:v>董事會績效評估</x:v>
      </x:c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</x:row>
    <x:row r="19" ht="28.5" customHeight="1">
      <x:c r="A19" s="11"/>
      <x:c r="B19" s="46" t="str">
        <x:v>鄧白氏企業認證™</x:v>
      </x:c>
      <x:c r="C19" s="47" t="str">
        <x:v>鄧白氏企業認證™</x:v>
      </x:c>
      <x:c r="D19" s="47" t="str">
        <x:v>鄧白氏企業認證™</x:v>
      </x:c>
      <x:c r="E19" s="47" t="str">
        <x:v>鄧白氏企業認證™</x:v>
      </x:c>
      <x:c r="F19" s="47" t="str">
        <x:v>鄧白氏企業認證™</x:v>
      </x:c>
      <x:c r="G19" s="48" t="str">
        <x:v>鄧白氏企業認證™</x:v>
      </x:c>
      <x:c r="H19" s="11"/>
      <x:c r="I19" s="46" t="str">
        <x:v>董監事進修課程</x:v>
      </x:c>
      <x:c r="J19" s="47" t="str">
        <x:v>董監事進修課程</x:v>
      </x:c>
      <x:c r="K19" s="47" t="str">
        <x:v>董監事進修課程</x:v>
      </x:c>
      <x:c r="L19" s="47" t="str">
        <x:v>董監事進修課程</x:v>
      </x:c>
      <x:c r="M19" s="47" t="str">
        <x:v>董監事進修課程</x:v>
      </x:c>
      <x:c r="N19" s="48" t="str">
        <x:v>董監事進修課程</x:v>
      </x:c>
      <x:c r="O19" s="11"/>
      <x:c r="P19" s="46" t="str">
        <x:v>NIRI IR Update 精選</x:v>
      </x:c>
      <x:c r="Q19" s="47" t="str">
        <x:v>NIRI IR Update 精選</x:v>
      </x:c>
      <x:c r="R19" s="47" t="str">
        <x:v>NIRI IR Update 精選</x:v>
      </x:c>
      <x:c r="S19" s="47" t="str">
        <x:v>NIRI IR Update 精選</x:v>
      </x:c>
      <x:c r="T19" s="47" t="str">
        <x:v>NIRI IR Update 精選</x:v>
      </x:c>
      <x:c r="U19" s="48" t="str">
        <x:v>NIRI IR Update 精選</x:v>
      </x:c>
      <x:c r="V19" s="11"/>
      <x:c r="W19" s="46" t="str">
        <x:v>提升公司治理服務</x:v>
      </x:c>
      <x:c r="X19" s="47" t="str">
        <x:v>提升公司治理服務</x:v>
      </x:c>
      <x:c r="Y19" s="47" t="str">
        <x:v>提升公司治理服務</x:v>
      </x:c>
      <x:c r="Z19" s="47" t="str">
        <x:v>提升公司治理服務</x:v>
      </x:c>
      <x:c r="AA19" s="47" t="str">
        <x:v>提升公司治理服務</x:v>
      </x:c>
      <x:c r="AB19" s="48" t="str">
        <x:v>提升公司治理服務</x:v>
      </x:c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</x:row>
    <x:row r="20" ht="28.5" customHeight="1">
      <x:c r="A20" s="11"/>
      <x:c r="B20" s="11"/>
      <x:c r="C20" s="11"/>
      <x:c r="D20" s="11"/>
      <x:c r="E20" s="11"/>
      <x:c r="F20" s="11"/>
      <x:c r="G20" s="11"/>
      <x:c r="H20" s="11"/>
      <x:c r="I20" s="46" t="str">
        <x:v>IRC 國際證照</x:v>
      </x:c>
      <x:c r="J20" s="47" t="str">
        <x:v>IRC 國際證照</x:v>
      </x:c>
      <x:c r="K20" s="47" t="str">
        <x:v>IRC 國際證照</x:v>
      </x:c>
      <x:c r="L20" s="47" t="str">
        <x:v>IRC 國際證照</x:v>
      </x:c>
      <x:c r="M20" s="47" t="str">
        <x:v>IRC 國際證照</x:v>
      </x:c>
      <x:c r="N20" s="48" t="str">
        <x:v>IRC 國際證照</x:v>
      </x:c>
      <x:c r="O20" s="11"/>
      <x:c r="P20" s="46" t="str">
        <x:v>專訪沈馥馥理事長</x:v>
      </x:c>
      <x:c r="Q20" s="47" t="str">
        <x:v>專訪沈馥馥理事長</x:v>
      </x:c>
      <x:c r="R20" s="47" t="str">
        <x:v>專訪沈馥馥理事長</x:v>
      </x:c>
      <x:c r="S20" s="47" t="str">
        <x:v>專訪沈馥馥理事長</x:v>
      </x:c>
      <x:c r="T20" s="47" t="str">
        <x:v>專訪沈馥馥理事長</x:v>
      </x:c>
      <x:c r="U20" s="48" t="str">
        <x:v>專訪沈馥馥理事長</x:v>
      </x:c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</x:row>
    <x:row r="21" ht="28.5" customHeight="1">
      <x:c r="A21" s="11"/>
      <x:c r="B21" s="11"/>
      <x:c r="C21" s="11"/>
      <x:c r="D21" s="11"/>
      <x:c r="E21" s="11"/>
      <x:c r="F21" s="11"/>
      <x:c r="G21" s="11"/>
      <x:c r="H21" s="11"/>
      <x:c r="I21" s="46" t="str">
        <x:v>IRC 贊助獎學金</x:v>
      </x:c>
      <x:c r="J21" s="47" t="str">
        <x:v>IRC 贊助獎學金</x:v>
      </x:c>
      <x:c r="K21" s="47" t="str">
        <x:v>IRC 贊助獎學金</x:v>
      </x:c>
      <x:c r="L21" s="47" t="str">
        <x:v>IRC 贊助獎學金</x:v>
      </x:c>
      <x:c r="M21" s="47" t="str">
        <x:v>IRC 贊助獎學金</x:v>
      </x:c>
      <x:c r="N21" s="48" t="str">
        <x:v>IRC 贊助獎學金</x:v>
      </x:c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</x:row>
    <x:row r="24">
      <x:c r="A24" s="11"/>
      <x:c r="B24" s="53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C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D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E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F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G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H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I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J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K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L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M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N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O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P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Q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R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S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T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U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V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W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X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Y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Z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A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B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C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D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E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F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G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H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I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J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K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L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M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N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O24" s="54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P24" s="55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</x:row>
    <x:row r="25">
      <x:c r="A25" s="11"/>
      <x:c r="B25" s="56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C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D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E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F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G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H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I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J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K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L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M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N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O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P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Q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R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S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T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U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V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W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X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Y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Z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A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B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C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D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E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F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G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H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I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J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K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L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M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N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O25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P25" s="57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</x:row>
    <x:row r="26">
      <x:c r="A26" s="11"/>
      <x:c r="B26" s="56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C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D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E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F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G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H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I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J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K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L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M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N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O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P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Q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R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S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T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U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V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W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X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Y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Z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A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B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C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D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E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F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G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H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I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J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K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L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M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N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O26" s="52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P26" s="57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</x:row>
    <x:row r="27">
      <x:c r="A27" s="11"/>
      <x:c r="B27" s="58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C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D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E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F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G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H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I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J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K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L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M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N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O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P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Q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R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S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T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U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V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W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X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Y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Z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A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B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C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D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E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F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G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H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I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J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K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L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M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N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O27" s="59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  <x:c r="AP27" s="60" t="str">
        <x:v>待確認：客戶所述「在課程與服務下新增一層服務項目」，是指（1）新增選單連結、（2）同時建立固定版型新內頁，或（3）建立單項服務詳細頁。CMS 範圍尚未完成內部決策。</x:v>
      </x:c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</x:row>
    <x:row r="29">
      <x:c r="A29" s="11"/>
      <x:c r="B29" s="65" t="str">
        <x:v>首頁</x:v>
      </x:c>
      <x:c r="C29" s="66" t="str">
        <x:v>首頁</x:v>
      </x:c>
      <x:c r="D29" s="66" t="str">
        <x:v>首頁</x:v>
      </x:c>
      <x:c r="E29" s="66" t="str">
        <x:v>首頁</x:v>
      </x:c>
      <x:c r="F29" s="67" t="str">
        <x:v>首頁</x:v>
      </x:c>
      <x:c r="G29" s="11"/>
      <x:c r="H29" s="75" t="str">
        <x:v>L1 主選單</x:v>
      </x:c>
      <x:c r="I29" s="76" t="str">
        <x:v>L1 主選單</x:v>
      </x:c>
      <x:c r="J29" s="76" t="str">
        <x:v>L1 主選單</x:v>
      </x:c>
      <x:c r="K29" s="76" t="str">
        <x:v>L1 主選單</x:v>
      </x:c>
      <x:c r="L29" s="77" t="str">
        <x:v>L1 主選單</x:v>
      </x:c>
      <x:c r="M29" s="11"/>
      <x:c r="N29" s="85" t="str">
        <x:v>L2 次層分組</x:v>
      </x:c>
      <x:c r="O29" s="86" t="str">
        <x:v>L2 次層分組</x:v>
      </x:c>
      <x:c r="P29" s="86" t="str">
        <x:v>L2 次層分組</x:v>
      </x:c>
      <x:c r="Q29" s="86" t="str">
        <x:v>L2 次層分組</x:v>
      </x:c>
      <x:c r="R29" s="87" t="str">
        <x:v>L2 次層分組</x:v>
      </x:c>
      <x:c r="S29" s="11"/>
      <x:c r="T29" s="91" t="str">
        <x:v>L3 內容頁</x:v>
      </x:c>
      <x:c r="U29" s="92" t="str">
        <x:v>L3 內容頁</x:v>
      </x:c>
      <x:c r="V29" s="92" t="str">
        <x:v>L3 內容頁</x:v>
      </x:c>
      <x:c r="W29" s="92" t="str">
        <x:v>L3 內容頁</x:v>
      </x:c>
      <x:c r="X29" s="93" t="str">
        <x:v>L3 內容頁</x:v>
      </x:c>
      <x:c r="Y29" s="11"/>
      <x:c r="Z29" s="102" t="str">
        <x:v>待確認</x:v>
      </x:c>
      <x:c r="AA29" s="103" t="str">
        <x:v>待確認</x:v>
      </x:c>
      <x:c r="AB29" s="103" t="str">
        <x:v>待確認</x:v>
      </x:c>
      <x:c r="AC29" s="103" t="str">
        <x:v>待確認</x:v>
      </x:c>
      <x:c r="AD29" s="104" t="str">
        <x:v>待確認</x:v>
      </x:c>
      <x:c r="AE29" s="11"/>
      <x:c r="AF29" s="113" t="str">
        <x:v>中英文：相同架構、相同模板，僅內容語言不同</x:v>
      </x:c>
      <x:c r="AG29" s="114" t="str">
        <x:v>中英文：相同架構、相同模板，僅內容語言不同</x:v>
      </x:c>
      <x:c r="AH29" s="114" t="str">
        <x:v>中英文：相同架構、相同模板，僅內容語言不同</x:v>
      </x:c>
      <x:c r="AI29" s="114" t="str">
        <x:v>中英文：相同架構、相同模板，僅內容語言不同</x:v>
      </x:c>
      <x:c r="AJ29" s="114" t="str">
        <x:v>中英文：相同架構、相同模板，僅內容語言不同</x:v>
      </x:c>
      <x:c r="AK29" s="114" t="str">
        <x:v>中英文：相同架構、相同模板，僅內容語言不同</x:v>
      </x:c>
      <x:c r="AL29" s="114" t="str">
        <x:v>中英文：相同架構、相同模板，僅內容語言不同</x:v>
      </x:c>
      <x:c r="AM29" s="114" t="str">
        <x:v>中英文：相同架構、相同模板，僅內容語言不同</x:v>
      </x:c>
      <x:c r="AN29" s="114" t="str">
        <x:v>中英文：相同架構、相同模板，僅內容語言不同</x:v>
      </x:c>
      <x:c r="AO29" s="114" t="str">
        <x:v>中英文：相同架構、相同模板，僅內容語言不同</x:v>
      </x:c>
      <x:c r="AP29" s="115" t="str">
        <x:v>中英文：相同架構、相同模板，僅內容語言不同</x:v>
      </x:c>
    </x:row>
    <x:row r="30">
      <x:c r="A30" s="11"/>
      <x:c r="B30" s="68" t="str">
        <x:v>首頁</x:v>
      </x:c>
      <x:c r="C30" s="69" t="str">
        <x:v>首頁</x:v>
      </x:c>
      <x:c r="D30" s="69" t="str">
        <x:v>首頁</x:v>
      </x:c>
      <x:c r="E30" s="69" t="str">
        <x:v>首頁</x:v>
      </x:c>
      <x:c r="F30" s="70" t="str">
        <x:v>首頁</x:v>
      </x:c>
      <x:c r="G30" s="11"/>
      <x:c r="H30" s="78" t="str">
        <x:v>L1 主選單</x:v>
      </x:c>
      <x:c r="I30" s="79" t="str">
        <x:v>L1 主選單</x:v>
      </x:c>
      <x:c r="J30" s="79" t="str">
        <x:v>L1 主選單</x:v>
      </x:c>
      <x:c r="K30" s="79" t="str">
        <x:v>L1 主選單</x:v>
      </x:c>
      <x:c r="L30" s="80" t="str">
        <x:v>L1 主選單</x:v>
      </x:c>
      <x:c r="M30" s="11"/>
      <x:c r="N30" s="88" t="str">
        <x:v>L2 次層分組</x:v>
      </x:c>
      <x:c r="O30" s="89" t="str">
        <x:v>L2 次層分組</x:v>
      </x:c>
      <x:c r="P30" s="89" t="str">
        <x:v>L2 次層分組</x:v>
      </x:c>
      <x:c r="Q30" s="89" t="str">
        <x:v>L2 次層分組</x:v>
      </x:c>
      <x:c r="R30" s="90" t="str">
        <x:v>L2 次層分組</x:v>
      </x:c>
      <x:c r="S30" s="11"/>
      <x:c r="T30" s="94" t="str">
        <x:v>L3 內容頁</x:v>
      </x:c>
      <x:c r="U30" s="95" t="str">
        <x:v>L3 內容頁</x:v>
      </x:c>
      <x:c r="V30" s="95" t="str">
        <x:v>L3 內容頁</x:v>
      </x:c>
      <x:c r="W30" s="95" t="str">
        <x:v>L3 內容頁</x:v>
      </x:c>
      <x:c r="X30" s="96" t="str">
        <x:v>L3 內容頁</x:v>
      </x:c>
      <x:c r="Y30" s="11"/>
      <x:c r="Z30" s="105" t="str">
        <x:v>待確認</x:v>
      </x:c>
      <x:c r="AA30" s="106" t="str">
        <x:v>待確認</x:v>
      </x:c>
      <x:c r="AB30" s="106" t="str">
        <x:v>待確認</x:v>
      </x:c>
      <x:c r="AC30" s="106" t="str">
        <x:v>待確認</x:v>
      </x:c>
      <x:c r="AD30" s="107" t="str">
        <x:v>待確認</x:v>
      </x:c>
      <x:c r="AE30" s="11"/>
      <x:c r="AF30" s="116" t="str">
        <x:v>中英文：相同架構、相同模板，僅內容語言不同</x:v>
      </x:c>
      <x:c r="AG30" s="117" t="str">
        <x:v>中英文：相同架構、相同模板，僅內容語言不同</x:v>
      </x:c>
      <x:c r="AH30" s="117" t="str">
        <x:v>中英文：相同架構、相同模板，僅內容語言不同</x:v>
      </x:c>
      <x:c r="AI30" s="117" t="str">
        <x:v>中英文：相同架構、相同模板，僅內容語言不同</x:v>
      </x:c>
      <x:c r="AJ30" s="117" t="str">
        <x:v>中英文：相同架構、相同模板，僅內容語言不同</x:v>
      </x:c>
      <x:c r="AK30" s="117" t="str">
        <x:v>中英文：相同架構、相同模板，僅內容語言不同</x:v>
      </x:c>
      <x:c r="AL30" s="117" t="str">
        <x:v>中英文：相同架構、相同模板，僅內容語言不同</x:v>
      </x:c>
      <x:c r="AM30" s="117" t="str">
        <x:v>中英文：相同架構、相同模板，僅內容語言不同</x:v>
      </x:c>
      <x:c r="AN30" s="117" t="str">
        <x:v>中英文：相同架構、相同模板，僅內容語言不同</x:v>
      </x:c>
      <x:c r="AO30" s="117" t="str">
        <x:v>中英文：相同架構、相同模板，僅內容語言不同</x:v>
      </x:c>
      <x:c r="AP30" s="118" t="str">
        <x:v>中英文：相同架構、相同模板，僅內容語言不同</x:v>
      </x:c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</x:row>
  </x:sheetData>
  <x:mergeCells>
    <x:mergeCell ref="A1:AP2"/>
    <x:mergeCell ref="A3:AP3"/>
    <x:mergeCell ref="Q4:AA5"/>
    <x:mergeCell ref="A6:AP6"/>
    <x:mergeCell ref="B7:G7"/>
    <x:mergeCell ref="B9:G9"/>
    <x:mergeCell ref="B11:G11"/>
    <x:mergeCell ref="B12:G12"/>
    <x:mergeCell ref="B13:G13"/>
    <x:mergeCell ref="B14:G14"/>
    <x:mergeCell ref="B16:G16"/>
    <x:mergeCell ref="B18:G18"/>
    <x:mergeCell ref="B19:G19"/>
    <x:mergeCell ref="I7:N7"/>
    <x:mergeCell ref="I9:N9"/>
    <x:mergeCell ref="I11:N11"/>
    <x:mergeCell ref="I12:N12"/>
    <x:mergeCell ref="I13:N13"/>
    <x:mergeCell ref="I14:N14"/>
    <x:mergeCell ref="I16:N16"/>
    <x:mergeCell ref="I18:N18"/>
    <x:mergeCell ref="I19:N19"/>
    <x:mergeCell ref="I20:N20"/>
    <x:mergeCell ref="I21:N21"/>
    <x:mergeCell ref="P7:U7"/>
    <x:mergeCell ref="P9:U9"/>
    <x:mergeCell ref="P11:U11"/>
    <x:mergeCell ref="P12:U12"/>
    <x:mergeCell ref="P13:U13"/>
    <x:mergeCell ref="P16:U16"/>
    <x:mergeCell ref="P18:U18"/>
    <x:mergeCell ref="P19:U19"/>
    <x:mergeCell ref="P20:U20"/>
    <x:mergeCell ref="W7:AB7"/>
    <x:mergeCell ref="W9:AB9"/>
    <x:mergeCell ref="W11:AB11"/>
    <x:mergeCell ref="W12:AB12"/>
    <x:mergeCell ref="W13:AB13"/>
    <x:mergeCell ref="W16:AB16"/>
    <x:mergeCell ref="W18:AB18"/>
    <x:mergeCell ref="W19:AB19"/>
    <x:mergeCell ref="AD7:AI7"/>
    <x:mergeCell ref="AD9:AI9"/>
    <x:mergeCell ref="AD11:AI11"/>
    <x:mergeCell ref="AD12:AI12"/>
    <x:mergeCell ref="AK7:AP7"/>
    <x:mergeCell ref="AK9:AP9"/>
    <x:mergeCell ref="AK11:AP11"/>
    <x:mergeCell ref="AK12:AP12"/>
    <x:mergeCell ref="AK13:AP13"/>
    <x:mergeCell ref="B24:AP27"/>
    <x:mergeCell ref="B29:F30"/>
    <x:mergeCell ref="H29:L30"/>
    <x:mergeCell ref="N29:R30"/>
    <x:mergeCell ref="T29:X30"/>
    <x:mergeCell ref="Z29:AD30"/>
    <x:mergeCell ref="AF29:AP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2.4399995803833" hidden="0" customWidth="1"/>
    <x:col min="3" max="3" width="14.220000267028809" hidden="0" customWidth="1"/>
    <x:col min="4" max="4" width="16.670000076293945" hidden="0" customWidth="1"/>
    <x:col min="5" max="5" width="17.219999313354492" hidden="0" customWidth="1"/>
    <x:col min="6" max="6" width="30" hidden="0" customWidth="1"/>
    <x:col min="7" max="7" width="18.329999923706055" hidden="0" customWidth="1"/>
    <x:col min="8" max="8" width="12.779999732971191" hidden="0" customWidth="1"/>
    <x:col min="9" max="9" width="12.220000267028809" hidden="0" customWidth="1"/>
    <x:col min="10" max="10" width="13.329999923706055" hidden="0" customWidth="1"/>
    <x:col min="11" max="11" width="24.440000534057617" hidden="0" customWidth="1"/>
  </x:cols>
  <x:sheetData>
    <x:row r="1" ht="28.5" customHeight="1">
      <x:c r="A1" s="9" t="str">
        <x:v>TIRI V1 頁面內容規劃表</x:v>
      </x:c>
      <x:c r="B1" s="9" t="str">
        <x:v>TIRI V1 頁面內容規劃表</x:v>
      </x:c>
      <x:c r="C1" s="9" t="str">
        <x:v>TIRI V1 頁面內容規劃表</x:v>
      </x:c>
      <x:c r="D1" s="9" t="str">
        <x:v>TIRI V1 頁面內容規劃表</x:v>
      </x:c>
      <x:c r="E1" s="9" t="str">
        <x:v>TIRI V1 頁面內容規劃表</x:v>
      </x:c>
      <x:c r="F1" s="9" t="str">
        <x:v>TIRI V1 頁面內容規劃表</x:v>
      </x:c>
      <x:c r="G1" s="9" t="str">
        <x:v>TIRI V1 頁面內容規劃表</x:v>
      </x:c>
      <x:c r="H1" s="9" t="str">
        <x:v>TIRI V1 頁面內容規劃表</x:v>
      </x:c>
      <x:c r="I1" s="9" t="str">
        <x:v>TIRI V1 頁面內容規劃表</x:v>
      </x:c>
      <x:c r="J1" s="9" t="str">
        <x:v>TIRI V1 頁面內容規劃表</x:v>
      </x:c>
      <x:c r="K1" s="9" t="str">
        <x:v>TIRI V1 頁面內容規劃表</x:v>
      </x:c>
    </x:row>
    <x:row r="2" ht="28.5" customHeight="1">
      <x:c r="A2" s="9" t="str">
        <x:v>TIRI V1 頁面內容規劃表</x:v>
      </x:c>
      <x:c r="B2" s="9" t="str">
        <x:v>TIRI V1 頁面內容規劃表</x:v>
      </x:c>
      <x:c r="C2" s="9" t="str">
        <x:v>TIRI V1 頁面內容規劃表</x:v>
      </x:c>
      <x:c r="D2" s="9" t="str">
        <x:v>TIRI V1 頁面內容規劃表</x:v>
      </x:c>
      <x:c r="E2" s="9" t="str">
        <x:v>TIRI V1 頁面內容規劃表</x:v>
      </x:c>
      <x:c r="F2" s="9" t="str">
        <x:v>TIRI V1 頁面內容規劃表</x:v>
      </x:c>
      <x:c r="G2" s="9" t="str">
        <x:v>TIRI V1 頁面內容規劃表</x:v>
      </x:c>
      <x:c r="H2" s="9" t="str">
        <x:v>TIRI V1 頁面內容規劃表</x:v>
      </x:c>
      <x:c r="I2" s="9" t="str">
        <x:v>TIRI V1 頁面內容規劃表</x:v>
      </x:c>
      <x:c r="J2" s="9" t="str">
        <x:v>TIRI V1 頁面內容規劃表</x:v>
      </x:c>
      <x:c r="K2" s="9" t="str">
        <x:v>TIRI V1 頁面內容規劃表</x:v>
      </x:c>
    </x:row>
    <x:row r="3" ht="18" customHeight="1">
      <x:c r="A3" s="10" t="str">
        <x:v>用於確認主選單、次層分組、頁面內容、英文缺件與 CMS 待決範圍</x:v>
      </x:c>
      <x:c r="B3" s="10" t="str">
        <x:v>用於確認主選單、次層分組、頁面內容、英文缺件與 CMS 待決範圍</x:v>
      </x:c>
      <x:c r="C3" s="10" t="str">
        <x:v>用於確認主選單、次層分組、頁面內容、英文缺件與 CMS 待決範圍</x:v>
      </x:c>
      <x:c r="D3" s="10" t="str">
        <x:v>用於確認主選單、次層分組、頁面內容、英文缺件與 CMS 待決範圍</x:v>
      </x:c>
      <x:c r="E3" s="10" t="str">
        <x:v>用於確認主選單、次層分組、頁面內容、英文缺件與 CMS 待決範圍</x:v>
      </x:c>
      <x:c r="F3" s="10" t="str">
        <x:v>用於確認主選單、次層分組、頁面內容、英文缺件與 CMS 待決範圍</x:v>
      </x:c>
      <x:c r="G3" s="10" t="str">
        <x:v>用於確認主選單、次層分組、頁面內容、英文缺件與 CMS 待決範圍</x:v>
      </x:c>
      <x:c r="H3" s="10" t="str">
        <x:v>用於確認主選單、次層分組、頁面內容、英文缺件與 CMS 待決範圍</x:v>
      </x:c>
      <x:c r="I3" s="10" t="str">
        <x:v>用於確認主選單、次層分組、頁面內容、英文缺件與 CMS 待決範圍</x:v>
      </x:c>
      <x:c r="J3" s="10" t="str">
        <x:v>用於確認主選單、次層分組、頁面內容、英文缺件與 CMS 待決範圍</x:v>
      </x:c>
      <x:c r="K3" s="10" t="str">
        <x:v>用於確認主選單、次層分組、頁面內容、英文缺件與 CMS 待決範圍</x:v>
      </x:c>
    </x:row>
    <x:row r="4" ht="21" customHeight="1">
      <x:c r="A4" s="119" t="str">
        <x:v>雙語原則：中文與英文使用相同網站架構、頁面模板與內容區塊；英文內容由 TIRI 提供。</x:v>
      </x:c>
      <x:c r="B4" s="119" t="str">
        <x:v>雙語原則：中文與英文使用相同網站架構、頁面模板與內容區塊；英文內容由 TIRI 提供。</x:v>
      </x:c>
      <x:c r="C4" s="119" t="str">
        <x:v>雙語原則：中文與英文使用相同網站架構、頁面模板與內容區塊；英文內容由 TIRI 提供。</x:v>
      </x:c>
      <x:c r="D4" s="119" t="str">
        <x:v>雙語原則：中文與英文使用相同網站架構、頁面模板與內容區塊；英文內容由 TIRI 提供。</x:v>
      </x:c>
      <x:c r="E4" s="119" t="str">
        <x:v>雙語原則：中文與英文使用相同網站架構、頁面模板與內容區塊；英文內容由 TIRI 提供。</x:v>
      </x:c>
      <x:c r="F4" s="119" t="str">
        <x:v>雙語原則：中文與英文使用相同網站架構、頁面模板與內容區塊；英文內容由 TIRI 提供。</x:v>
      </x:c>
      <x:c r="G4" s="119" t="str">
        <x:v>雙語原則：中文與英文使用相同網站架構、頁面模板與內容區塊；英文內容由 TIRI 提供。</x:v>
      </x:c>
      <x:c r="H4" s="119" t="str">
        <x:v>雙語原則：中文與英文使用相同網站架構、頁面模板與內容區塊；英文內容由 TIRI 提供。</x:v>
      </x:c>
      <x:c r="I4" s="119" t="str">
        <x:v>雙語原則：中文與英文使用相同網站架構、頁面模板與內容區塊；英文內容由 TIRI 提供。</x:v>
      </x:c>
      <x:c r="J4" s="119" t="str">
        <x:v>雙語原則：中文與英文使用相同網站架構、頁面模板與內容區塊；英文內容由 TIRI 提供。</x:v>
      </x:c>
      <x:c r="K4" s="119" t="str">
        <x:v>雙語原則：中文與英文使用相同網站架構、頁面模板與內容區塊；英文內容由 TIRI 提供。</x:v>
      </x:c>
    </x:row>
    <x:row r="5" ht="25.5" customHeight="1">
      <x:c r="A5" s="124" t="str">
        <x:v>編號</x:v>
      </x:c>
      <x:c r="B5" s="124" t="str">
        <x:v>L1 主選單</x:v>
      </x:c>
      <x:c r="C5" s="124" t="str">
        <x:v>L2 次層</x:v>
      </x:c>
      <x:c r="D5" s="124" t="str">
        <x:v>L3 頁面</x:v>
      </x:c>
      <x:c r="E5" s="124" t="str">
        <x:v>中文 URL</x:v>
      </x:c>
      <x:c r="F5" s="124" t="str">
        <x:v>主要內容區塊</x:v>
      </x:c>
      <x:c r="G5" s="124" t="str">
        <x:v>英文現有資料</x:v>
      </x:c>
      <x:c r="H5" s="124" t="str">
        <x:v>英文狀態</x:v>
      </x:c>
      <x:c r="I5" s="124" t="str">
        <x:v>頁面類型</x:v>
      </x:c>
      <x:c r="J5" s="124" t="str">
        <x:v>CMS 範圍</x:v>
      </x:c>
      <x:c r="K5" s="124" t="str">
        <x:v>備註</x:v>
      </x:c>
    </x:row>
    <x:row r="6" ht="33" customHeight="1">
      <x:c r="A6" s="130" t="str">
        <x:v>P00</x:v>
      </x:c>
      <x:c r="B6" s="128" t="str">
        <x:v>首頁</x:v>
      </x:c>
      <x:c r="C6" s="128" t="str">
        <x:v>—</x:v>
      </x:c>
      <x:c r="D6" s="128" t="str">
        <x:v>首頁</x:v>
      </x:c>
      <x:c r="E6" s="128" t="str">
        <x:v>index.html</x:v>
      </x:c>
      <x:c r="F6" s="128" t="str">
        <x:v>主視覺、服務、課程、消息、知識、會員、合作夥伴、聯絡</x:v>
      </x:c>
      <x:c r="G6" s="128" t="str">
        <x:v>en.html（舊內容）</x:v>
      </x:c>
      <x:c r="H6" s="130" t="str">
        <x:v>既有但需重整</x:v>
      </x:c>
      <x:c r="I6" s="130" t="str">
        <x:v>首頁模板</x:v>
      </x:c>
      <x:c r="J6" s="134" t="str">
        <x:v>待內部確認</x:v>
      </x:c>
      <x:c r="K6" s="128" t="str">
        <x:v>英文需套用中文相同模板</x:v>
      </x:c>
    </x:row>
    <x:row r="7" ht="33" customHeight="1">
      <x:c r="A7" s="131" t="str">
        <x:v>P01</x:v>
      </x:c>
      <x:c r="B7" s="129" t="str">
        <x:v>關於 TIRI</x:v>
      </x:c>
      <x:c r="C7" s="129" t="str">
        <x:v>協會</x:v>
      </x:c>
      <x:c r="D7" s="129" t="str">
        <x:v>協會使命／創會緣起</x:v>
      </x:c>
      <x:c r="E7" s="129" t="str">
        <x:v>about.html</x:v>
      </x:c>
      <x:c r="F7" s="129" t="str">
        <x:v>創會緣起、宗旨、12 項功能、理監事摘要、委員會、鄧白氏</x:v>
      </x:c>
      <x:c r="G7" s="129" t="str">
        <x:v>mission_en.html</x:v>
      </x:c>
      <x:c r="H7" s="131" t="str">
        <x:v>部分已有</x:v>
      </x:c>
      <x:c r="I7" s="131" t="str">
        <x:v>固定說明頁</x:v>
      </x:c>
      <x:c r="J7" s="135" t="str">
        <x:v>待內部確認</x:v>
      </x:c>
      <x:c r="K7" s="129" t="str">
        <x:v>需重組為 1:1 英文頁</x:v>
      </x:c>
    </x:row>
    <x:row r="8" ht="33" customHeight="1">
      <x:c r="A8" s="131" t="str">
        <x:v>P02</x:v>
      </x:c>
      <x:c r="B8" s="129" t="str">
        <x:v>關於 TIRI</x:v>
      </x:c>
      <x:c r="C8" s="129" t="str">
        <x:v>協會</x:v>
      </x:c>
      <x:c r="D8" s="129" t="str">
        <x:v>第三屆理監事</x:v>
      </x:c>
      <x:c r="E8" s="129" t="str">
        <x:v>team2026.html</x:v>
      </x:c>
      <x:c r="F8" s="129" t="str">
        <x:v>理事長、副理事長、理事、監事、顧問、秘書處</x:v>
      </x:c>
      <x:c r="G8" s="129" t="str">
        <x:v>team_en-2026.html</x:v>
      </x:c>
      <x:c r="H8" s="131" t="str">
        <x:v>已有</x:v>
      </x:c>
      <x:c r="I8" s="131" t="str">
        <x:v>名冊頁</x:v>
      </x:c>
      <x:c r="J8" s="135" t="str">
        <x:v>待內部確認</x:v>
      </x:c>
      <x:c r="K8" s="129" t="str"/>
    </x:row>
    <x:row r="9" ht="33" customHeight="1">
      <x:c r="A9" s="131" t="str">
        <x:v>P03</x:v>
      </x:c>
      <x:c r="B9" s="129" t="str">
        <x:v>關於 TIRI</x:v>
      </x:c>
      <x:c r="C9" s="129" t="str">
        <x:v>協會</x:v>
      </x:c>
      <x:c r="D9" s="129" t="str">
        <x:v>歷屆理監事</x:v>
      </x:c>
      <x:c r="E9" s="129" t="str">
        <x:v>board.html</x:v>
      </x:c>
      <x:c r="F9" s="129" t="str">
        <x:v>第一至第三屆理監事入口</x:v>
      </x:c>
      <x:c r="G9" s="129" t="str">
        <x:v>board_en.html</x:v>
      </x:c>
      <x:c r="H9" s="131" t="str">
        <x:v>已有</x:v>
      </x:c>
      <x:c r="I9" s="131" t="str">
        <x:v>列表／歸檔頁</x:v>
      </x:c>
      <x:c r="J9" s="135" t="str">
        <x:v>待內部確認</x:v>
      </x:c>
      <x:c r="K9" s="129" t="str"/>
    </x:row>
    <x:row r="10" ht="33" customHeight="1">
      <x:c r="A10" s="131" t="str">
        <x:v>P04</x:v>
      </x:c>
      <x:c r="B10" s="129" t="str">
        <x:v>關於 TIRI</x:v>
      </x:c>
      <x:c r="C10" s="129" t="str">
        <x:v>協會</x:v>
      </x:c>
      <x:c r="D10" s="129" t="str">
        <x:v>功能委員會</x:v>
      </x:c>
      <x:c r="E10" s="129" t="str">
        <x:v>about.html#committee</x:v>
      </x:c>
      <x:c r="F10" s="129" t="str">
        <x:v>證照、獎項、專業、媒體、推廣委員會</x:v>
      </x:c>
      <x:c r="G10" s="129" t="str">
        <x:v>About 對應段落</x:v>
      </x:c>
      <x:c r="H10" s="131" t="str">
        <x:v>待提供</x:v>
      </x:c>
      <x:c r="I10" s="131" t="str">
        <x:v>頁內區塊</x:v>
      </x:c>
      <x:c r="J10" s="135" t="str">
        <x:v>待內部確認</x:v>
      </x:c>
      <x:c r="K10" s="129" t="str"/>
    </x:row>
    <x:row r="11" ht="33" customHeight="1">
      <x:c r="A11" s="131" t="str">
        <x:v>P05</x:v>
      </x:c>
      <x:c r="B11" s="129" t="str">
        <x:v>關於 TIRI</x:v>
      </x:c>
      <x:c r="C11" s="129" t="str">
        <x:v>服務與認證</x:v>
      </x:c>
      <x:c r="D11" s="129" t="str">
        <x:v>功能與服務</x:v>
      </x:c>
      <x:c r="E11" s="129" t="str">
        <x:v>services.html</x:v>
      </x:c>
      <x:c r="F11" s="129" t="str">
        <x:v>12 項核心功能與相關服務入口</x:v>
      </x:c>
      <x:c r="G11" s="129" t="str">
        <x:v>services_en.html</x:v>
      </x:c>
      <x:c r="H11" s="131" t="str">
        <x:v>已有</x:v>
      </x:c>
      <x:c r="I11" s="131" t="str">
        <x:v>固定說明頁</x:v>
      </x:c>
      <x:c r="J11" s="135" t="str">
        <x:v>待內部確認</x:v>
      </x:c>
      <x:c r="K11" s="129" t="str"/>
    </x:row>
    <x:row r="12" ht="33" customHeight="1">
      <x:c r="A12" s="131" t="str">
        <x:v>P06</x:v>
      </x:c>
      <x:c r="B12" s="129" t="str">
        <x:v>關於 TIRI</x:v>
      </x:c>
      <x:c r="C12" s="129" t="str">
        <x:v>服務與認證</x:v>
      </x:c>
      <x:c r="D12" s="129" t="str">
        <x:v>鄧白氏企業認證™</x:v>
      </x:c>
      <x:c r="E12" s="129" t="str">
        <x:v>certificate.html</x:v>
      </x:c>
      <x:c r="F12" s="129" t="str">
        <x:v>認證說明、TIRI 認證資訊、證書</x:v>
      </x:c>
      <x:c r="G12" s="129" t="str">
        <x:v>待建立</x:v>
      </x:c>
      <x:c r="H12" s="131" t="str">
        <x:v>待提供</x:v>
      </x:c>
      <x:c r="I12" s="131" t="str">
        <x:v>固定說明頁</x:v>
      </x:c>
      <x:c r="J12" s="135" t="str">
        <x:v>待內部確認</x:v>
      </x:c>
      <x:c r="K12" s="129" t="str"/>
    </x:row>
    <x:row r="13" ht="33" customHeight="1">
      <x:c r="A13" s="131" t="str">
        <x:v>P07</x:v>
      </x:c>
      <x:c r="B13" s="129" t="str">
        <x:v>活動課程</x:v>
      </x:c>
      <x:c r="C13" s="129" t="str">
        <x:v>活動與獎項</x:v>
      </x:c>
      <x:c r="D13" s="129" t="str">
        <x:v>焦點與近期課程</x:v>
      </x:c>
      <x:c r="E13" s="129" t="str">
        <x:v>events.html</x:v>
      </x:c>
      <x:c r="F13" s="129" t="str">
        <x:v>焦點、近期課程、專業發展、IRC、獎項、歷屆回顧</x:v>
      </x:c>
      <x:c r="G13" s="129" t="str">
        <x:v>待建立</x:v>
      </x:c>
      <x:c r="H13" s="131" t="str">
        <x:v>待提供</x:v>
      </x:c>
      <x:c r="I13" s="131" t="str">
        <x:v>總覽／入口頁</x:v>
      </x:c>
      <x:c r="J13" s="135" t="str">
        <x:v>待內部確認</x:v>
      </x:c>
      <x:c r="K13" s="129" t="str">
        <x:v>L1 名稱是否改為「課程與服務」待確認</x:v>
      </x:c>
    </x:row>
    <x:row r="14" ht="33" customHeight="1">
      <x:c r="A14" s="131" t="str">
        <x:v>P08</x:v>
      </x:c>
      <x:c r="B14" s="129" t="str">
        <x:v>活動課程</x:v>
      </x:c>
      <x:c r="C14" s="129" t="str">
        <x:v>活動與獎項</x:v>
      </x:c>
      <x:c r="D14" s="129" t="str">
        <x:v>精彩回顧</x:v>
      </x:c>
      <x:c r="E14" s="129" t="str">
        <x:v>news-971146.html</x:v>
      </x:c>
      <x:c r="F14" s="129" t="str">
        <x:v>2018～2025 年度大會及活動列表</x:v>
      </x:c>
      <x:c r="G14" s="129" t="str">
        <x:v>待建立</x:v>
      </x:c>
      <x:c r="H14" s="131" t="str">
        <x:v>待提供</x:v>
      </x:c>
      <x:c r="I14" s="131" t="str">
        <x:v>列表／歸檔頁</x:v>
      </x:c>
      <x:c r="J14" s="135" t="str">
        <x:v>待內部確認</x:v>
      </x:c>
      <x:c r="K14" s="129" t="str">
        <x:v>同時出現在最新消息導覽</x:v>
      </x:c>
    </x:row>
    <x:row r="15" ht="33" customHeight="1">
      <x:c r="A15" s="131" t="str">
        <x:v>P09</x:v>
      </x:c>
      <x:c r="B15" s="129" t="str">
        <x:v>活動課程</x:v>
      </x:c>
      <x:c r="C15" s="129" t="str">
        <x:v>活動與獎項</x:v>
      </x:c>
      <x:c r="D15" s="129" t="str">
        <x:v>TIRI Awards</x:v>
      </x:c>
      <x:c r="E15" s="129" t="str">
        <x:v>mission-206783.html</x:v>
      </x:c>
      <x:c r="F15" s="129" t="str">
        <x:v>投票資訊與入圍企業名單</x:v>
      </x:c>
      <x:c r="G15" s="129" t="str">
        <x:v>部分舊資料</x:v>
      </x:c>
      <x:c r="H15" s="131" t="str">
        <x:v>部分已有</x:v>
      </x:c>
      <x:c r="I15" s="131" t="str">
        <x:v>內容詳細頁</x:v>
      </x:c>
      <x:c r="J15" s="135" t="str">
        <x:v>待內部確認</x:v>
      </x:c>
      <x:c r="K15" s="129" t="str"/>
    </x:row>
    <x:row r="16" ht="33" customHeight="1">
      <x:c r="A16" s="131" t="str">
        <x:v>P10</x:v>
      </x:c>
      <x:c r="B16" s="129" t="str">
        <x:v>活動課程</x:v>
      </x:c>
      <x:c r="C16" s="129" t="str">
        <x:v>活動與獎項</x:v>
      </x:c>
      <x:c r="D16" s="129" t="str">
        <x:v>TIRI 潛力進展獎</x:v>
      </x:c>
      <x:c r="E16" s="129" t="str">
        <x:v>mission-206783-766399.html</x:v>
      </x:c>
      <x:c r="F16" s="129" t="str">
        <x:v>獎項說明與入選企業名單</x:v>
      </x:c>
      <x:c r="G16" s="129" t="str">
        <x:v>部分舊資料</x:v>
      </x:c>
      <x:c r="H16" s="131" t="str">
        <x:v>部分已有</x:v>
      </x:c>
      <x:c r="I16" s="131" t="str">
        <x:v>內容詳細頁</x:v>
      </x:c>
      <x:c r="J16" s="135" t="str">
        <x:v>待內部確認</x:v>
      </x:c>
      <x:c r="K16" s="129" t="str"/>
    </x:row>
    <x:row r="17" ht="33" customHeight="1">
      <x:c r="A17" s="131" t="str">
        <x:v>P11</x:v>
      </x:c>
      <x:c r="B17" s="129" t="str">
        <x:v>活動課程</x:v>
      </x:c>
      <x:c r="C17" s="129" t="str">
        <x:v>專業課程與證照</x:v>
      </x:c>
      <x:c r="D17" s="129" t="str">
        <x:v>TIRIC IR 專業實戰班</x:v>
      </x:c>
      <x:c r="E17" s="129" t="str">
        <x:v>tiric.html</x:v>
      </x:c>
      <x:c r="F17" s="129" t="str">
        <x:v>簡介、教材、核心價值、講師、詳情、報名</x:v>
      </x:c>
      <x:c r="G17" s="129" t="str">
        <x:v>部分舊資料</x:v>
      </x:c>
      <x:c r="H17" s="131" t="str">
        <x:v>部分已有</x:v>
      </x:c>
      <x:c r="I17" s="131" t="str">
        <x:v>內容詳細頁</x:v>
      </x:c>
      <x:c r="J17" s="135" t="str">
        <x:v>待內部確認</x:v>
      </x:c>
      <x:c r="K17" s="129" t="str"/>
    </x:row>
    <x:row r="18" ht="33" customHeight="1">
      <x:c r="A18" s="131" t="str">
        <x:v>P12</x:v>
      </x:c>
      <x:c r="B18" s="129" t="str">
        <x:v>活動課程</x:v>
      </x:c>
      <x:c r="C18" s="129" t="str">
        <x:v>專業課程與證照</x:v>
      </x:c>
      <x:c r="D18" s="129" t="str">
        <x:v>董監事進修課程</x:v>
      </x:c>
      <x:c r="E18" s="129" t="str">
        <x:v>trainbod.html</x:v>
      </x:c>
      <x:c r="F18" s="129" t="str">
        <x:v>公開班、企業專班、主題、費用、報名與服務窗口</x:v>
      </x:c>
      <x:c r="G18" s="129" t="str">
        <x:v>待建立</x:v>
      </x:c>
      <x:c r="H18" s="131" t="str">
        <x:v>待提供</x:v>
      </x:c>
      <x:c r="I18" s="131" t="str">
        <x:v>內容詳細頁</x:v>
      </x:c>
      <x:c r="J18" s="135" t="str">
        <x:v>待內部確認</x:v>
      </x:c>
      <x:c r="K18" s="129" t="str"/>
    </x:row>
    <x:row r="19" ht="33" customHeight="1">
      <x:c r="A19" s="131" t="str">
        <x:v>P13</x:v>
      </x:c>
      <x:c r="B19" s="129" t="str">
        <x:v>活動課程</x:v>
      </x:c>
      <x:c r="C19" s="129" t="str">
        <x:v>專業課程與證照</x:v>
      </x:c>
      <x:c r="D19" s="129" t="str">
        <x:v>IRC 國際證照</x:v>
      </x:c>
      <x:c r="E19" s="129" t="str">
        <x:v>certification.html</x:v>
      </x:c>
      <x:c r="F19" s="129" t="str">
        <x:v>證照、考試、費用、準備、經驗分享、維護</x:v>
      </x:c>
      <x:c r="G19" s="129" t="str">
        <x:v>部分英文資源</x:v>
      </x:c>
      <x:c r="H19" s="131" t="str">
        <x:v>部分已有</x:v>
      </x:c>
      <x:c r="I19" s="131" t="str">
        <x:v>內容詳細頁</x:v>
      </x:c>
      <x:c r="J19" s="135" t="str">
        <x:v>待內部確認</x:v>
      </x:c>
      <x:c r="K19" s="129" t="str"/>
    </x:row>
    <x:row r="20" ht="33" customHeight="1">
      <x:c r="A20" s="131" t="str">
        <x:v>P14</x:v>
      </x:c>
      <x:c r="B20" s="129" t="str">
        <x:v>活動課程</x:v>
      </x:c>
      <x:c r="C20" s="129" t="str">
        <x:v>專業課程與證照</x:v>
      </x:c>
      <x:c r="D20" s="129" t="str">
        <x:v>IRC 贊助獎學金</x:v>
      </x:c>
      <x:c r="E20" s="129" t="str">
        <x:v>scholarshipirc.html</x:v>
      </x:c>
      <x:c r="F20" s="129" t="str">
        <x:v>申請流程、說明、IRC 介紹與選擇理由</x:v>
      </x:c>
      <x:c r="G20" s="129" t="str">
        <x:v>待建立</x:v>
      </x:c>
      <x:c r="H20" s="131" t="str">
        <x:v>待提供</x:v>
      </x:c>
      <x:c r="I20" s="131" t="str">
        <x:v>內容詳細頁</x:v>
      </x:c>
      <x:c r="J20" s="135" t="str">
        <x:v>待內部確認</x:v>
      </x:c>
      <x:c r="K20" s="129" t="str"/>
    </x:row>
    <x:row r="21" ht="33" customHeight="1">
      <x:c r="A21" s="131" t="str">
        <x:v>P15</x:v>
      </x:c>
      <x:c r="B21" s="129" t="str">
        <x:v>知識資源</x:v>
      </x:c>
      <x:c r="C21" s="129" t="str">
        <x:v>刊物與專欄</x:v>
      </x:c>
      <x:c r="D21" s="129" t="str">
        <x:v>知識總覽</x:v>
      </x:c>
      <x:c r="E21" s="129" t="str">
        <x:v>knowledge.html</x:v>
      </x:c>
      <x:c r="F21" s="129" t="str">
        <x:v>專訪、專文、雙月刊、NIRI IR Update、年刊入口</x:v>
      </x:c>
      <x:c r="G21" s="129" t="str">
        <x:v>待建立</x:v>
      </x:c>
      <x:c r="H21" s="131" t="str">
        <x:v>待提供</x:v>
      </x:c>
      <x:c r="I21" s="131" t="str">
        <x:v>總覽／入口頁</x:v>
      </x:c>
      <x:c r="J21" s="135" t="str">
        <x:v>待內部確認</x:v>
      </x:c>
      <x:c r="K21" s="129" t="str"/>
    </x:row>
    <x:row r="22" ht="33" customHeight="1">
      <x:c r="A22" s="131" t="str">
        <x:v>P16</x:v>
      </x:c>
      <x:c r="B22" s="129" t="str">
        <x:v>知識資源</x:v>
      </x:c>
      <x:c r="C22" s="129" t="str">
        <x:v>刊物與專欄</x:v>
      </x:c>
      <x:c r="D22" s="129" t="str">
        <x:v>證券雙月刊專欄</x:v>
      </x:c>
      <x:c r="E22" s="129" t="str">
        <x:v>news-387131-325944.html</x:v>
      </x:c>
      <x:c r="F22" s="129" t="str">
        <x:v>證交所證券服務雙月刊歷期文章</x:v>
      </x:c>
      <x:c r="G22" s="129" t="str">
        <x:v>部分英文素材</x:v>
      </x:c>
      <x:c r="H22" s="131" t="str">
        <x:v>部分已有</x:v>
      </x:c>
      <x:c r="I22" s="131" t="str">
        <x:v>列表／歸檔頁</x:v>
      </x:c>
      <x:c r="J22" s="135" t="str">
        <x:v>待內部確認</x:v>
      </x:c>
      <x:c r="K22" s="129" t="str">
        <x:v>歷史文章是否全部雙語待確認</x:v>
      </x:c>
    </x:row>
    <x:row r="23" ht="33" customHeight="1">
      <x:c r="A23" s="131" t="str">
        <x:v>P17</x:v>
      </x:c>
      <x:c r="B23" s="129" t="str">
        <x:v>知識資源</x:v>
      </x:c>
      <x:c r="C23" s="129" t="str">
        <x:v>刊物與專欄</x:v>
      </x:c>
      <x:c r="D23" s="129" t="str">
        <x:v>TIRI 年刊</x:v>
      </x:c>
      <x:c r="E23" s="129" t="str">
        <x:v>5th_report-516844.html</x:v>
      </x:c>
      <x:c r="F23" s="129" t="str">
        <x:v>年刊介紹與中英文 PDF 下載</x:v>
      </x:c>
      <x:c r="G23" s="129" t="str">
        <x:v>部分英文 PDF</x:v>
      </x:c>
      <x:c r="H23" s="131" t="str">
        <x:v>部分已有</x:v>
      </x:c>
      <x:c r="I23" s="131" t="str">
        <x:v>列表／歸檔頁</x:v>
      </x:c>
      <x:c r="J23" s="135" t="str">
        <x:v>待內部確認</x:v>
      </x:c>
      <x:c r="K23" s="129" t="str"/>
    </x:row>
    <x:row r="24" ht="33" customHeight="1">
      <x:c r="A24" s="131" t="str">
        <x:v>P18</x:v>
      </x:c>
      <x:c r="B24" s="129" t="str">
        <x:v>知識資源</x:v>
      </x:c>
      <x:c r="C24" s="129" t="str">
        <x:v>文章與專訪</x:v>
      </x:c>
      <x:c r="D24" s="129" t="str">
        <x:v>專文分享</x:v>
      </x:c>
      <x:c r="E24" s="129" t="str">
        <x:v>news-387131-325944-831518.html</x:v>
      </x:c>
      <x:c r="F24" s="129" t="str">
        <x:v>協會主題專文列表</x:v>
      </x:c>
      <x:c r="G24" s="129" t="str">
        <x:v>待建立</x:v>
      </x:c>
      <x:c r="H24" s="131" t="str">
        <x:v>待提供</x:v>
      </x:c>
      <x:c r="I24" s="131" t="str">
        <x:v>列表／歸檔頁</x:v>
      </x:c>
      <x:c r="J24" s="135" t="str">
        <x:v>待內部確認</x:v>
      </x:c>
      <x:c r="K24" s="129" t="str"/>
    </x:row>
    <x:row r="25" ht="33" customHeight="1">
      <x:c r="A25" s="131" t="str">
        <x:v>P19</x:v>
      </x:c>
      <x:c r="B25" s="129" t="str">
        <x:v>知識資源</x:v>
      </x:c>
      <x:c r="C25" s="129" t="str">
        <x:v>文章與專訪</x:v>
      </x:c>
      <x:c r="D25" s="129" t="str">
        <x:v>NIRI IR Update 精選</x:v>
      </x:c>
      <x:c r="E25" s="129" t="str">
        <x:v>irupdatestc.html</x:v>
      </x:c>
      <x:c r="F25" s="129" t="str">
        <x:v>2019～2020 NIRI IR Update 中文化文章</x:v>
      </x:c>
      <x:c r="G25" s="129" t="str">
        <x:v>原始英文資源</x:v>
      </x:c>
      <x:c r="H25" s="131" t="str">
        <x:v>部分已有</x:v>
      </x:c>
      <x:c r="I25" s="131" t="str">
        <x:v>列表／歸檔頁</x:v>
      </x:c>
      <x:c r="J25" s="135" t="str">
        <x:v>待內部確認</x:v>
      </x:c>
      <x:c r="K25" s="129" t="str"/>
    </x:row>
    <x:row r="26" ht="33" customHeight="1">
      <x:c r="A26" s="131" t="str">
        <x:v>P20</x:v>
      </x:c>
      <x:c r="B26" s="129" t="str">
        <x:v>知識資源</x:v>
      </x:c>
      <x:c r="C26" s="129" t="str">
        <x:v>文章與專訪</x:v>
      </x:c>
      <x:c r="D26" s="129" t="str">
        <x:v>專訪沈馥馥理事長</x:v>
      </x:c>
      <x:c r="E26" s="129" t="str">
        <x:v>2356035370-277843933339333297022010738263.html</x:v>
      </x:c>
      <x:c r="F26" s="129" t="str">
        <x:v>專訪內文、影音、雙月刊報導</x:v>
      </x:c>
      <x:c r="G26" s="129" t="str">
        <x:v>待建立</x:v>
      </x:c>
      <x:c r="H26" s="131" t="str">
        <x:v>待提供</x:v>
      </x:c>
      <x:c r="I26" s="131" t="str">
        <x:v>內容詳細頁</x:v>
      </x:c>
      <x:c r="J26" s="135" t="str">
        <x:v>待內部確認</x:v>
      </x:c>
      <x:c r="K26" s="129" t="str"/>
    </x:row>
    <x:row r="27" ht="33" customHeight="1">
      <x:c r="A27" s="131" t="str">
        <x:v>P21</x:v>
      </x:c>
      <x:c r="B27" s="129" t="str">
        <x:v>會員服務</x:v>
      </x:c>
      <x:c r="C27" s="129" t="str">
        <x:v>會員</x:v>
      </x:c>
      <x:c r="D27" s="129" t="str">
        <x:v>會員類別與會費</x:v>
      </x:c>
      <x:c r="E27" s="129" t="str">
        <x:v>membership.html</x:v>
      </x:c>
      <x:c r="F27" s="129" t="str">
        <x:v>類別、會費、優惠摘要、治理服務摘要、加入 CTA</x:v>
      </x:c>
      <x:c r="G27" s="129" t="str">
        <x:v>待建立</x:v>
      </x:c>
      <x:c r="H27" s="131" t="str">
        <x:v>待提供</x:v>
      </x:c>
      <x:c r="I27" s="131" t="str">
        <x:v>總覽／入口頁</x:v>
      </x:c>
      <x:c r="J27" s="135" t="str">
        <x:v>待內部確認</x:v>
      </x:c>
      <x:c r="K27" s="129" t="str"/>
    </x:row>
    <x:row r="28" ht="33" customHeight="1">
      <x:c r="A28" s="131" t="str">
        <x:v>P22</x:v>
      </x:c>
      <x:c r="B28" s="129" t="str">
        <x:v>會員服務</x:v>
      </x:c>
      <x:c r="C28" s="129" t="str">
        <x:v>會員</x:v>
      </x:c>
      <x:c r="D28" s="129" t="str">
        <x:v>會員專屬優惠</x:v>
      </x:c>
      <x:c r="E28" s="129" t="str">
        <x:v>benefit.html</x:v>
      </x:c>
      <x:c r="F28" s="129" t="str">
        <x:v>協會服務優惠、合作夥伴優惠、入會 CTA</x:v>
      </x:c>
      <x:c r="G28" s="129" t="str">
        <x:v>部分舊資料</x:v>
      </x:c>
      <x:c r="H28" s="131" t="str">
        <x:v>部分已有</x:v>
      </x:c>
      <x:c r="I28" s="131" t="str">
        <x:v>固定說明頁</x:v>
      </x:c>
      <x:c r="J28" s="135" t="str">
        <x:v>待內部確認</x:v>
      </x:c>
      <x:c r="K28" s="129" t="str"/>
    </x:row>
    <x:row r="29" ht="33" customHeight="1">
      <x:c r="A29" s="131" t="str">
        <x:v>P23</x:v>
      </x:c>
      <x:c r="B29" s="129" t="str">
        <x:v>會員服務</x:v>
      </x:c>
      <x:c r="C29" s="129" t="str">
        <x:v>會員</x:v>
      </x:c>
      <x:c r="D29" s="129" t="str">
        <x:v>加入會員</x:v>
      </x:c>
      <x:c r="E29" s="129" t="str">
        <x:v>join.html</x:v>
      </x:c>
      <x:c r="F29" s="129" t="str">
        <x:v>申請流程、會員說明、匯款資訊、表單</x:v>
      </x:c>
      <x:c r="G29" s="129" t="str">
        <x:v>英文舊頁／申請文件</x:v>
      </x:c>
      <x:c r="H29" s="131" t="str">
        <x:v>部分已有</x:v>
      </x:c>
      <x:c r="I29" s="131" t="str">
        <x:v>表單頁</x:v>
      </x:c>
      <x:c r="J29" s="135" t="str">
        <x:v>待內部確認</x:v>
      </x:c>
      <x:c r="K29" s="129" t="str">
        <x:v>表單欄位不納入內容編輯</x:v>
      </x:c>
    </x:row>
    <x:row r="30" ht="33" customHeight="1">
      <x:c r="A30" s="131" t="str">
        <x:v>P24</x:v>
      </x:c>
      <x:c r="B30" s="129" t="str">
        <x:v>會員服務</x:v>
      </x:c>
      <x:c r="C30" s="129" t="str">
        <x:v>治理服務</x:v>
      </x:c>
      <x:c r="D30" s="129" t="str">
        <x:v>董事會績效評估</x:v>
      </x:c>
      <x:c r="E30" s="129" t="str">
        <x:v>bodperform.html</x:v>
      </x:c>
      <x:c r="F30" s="129" t="str">
        <x:v>特色、流程、收費、線上申請、服務窗口</x:v>
      </x:c>
      <x:c r="G30" s="129" t="str">
        <x:v>待建立</x:v>
      </x:c>
      <x:c r="H30" s="131" t="str">
        <x:v>待提供</x:v>
      </x:c>
      <x:c r="I30" s="131" t="str">
        <x:v>表單頁</x:v>
      </x:c>
      <x:c r="J30" s="135" t="str">
        <x:v>待內部確認</x:v>
      </x:c>
      <x:c r="K30" s="129" t="str"/>
    </x:row>
    <x:row r="31" ht="33" customHeight="1">
      <x:c r="A31" s="131" t="str">
        <x:v>P25</x:v>
      </x:c>
      <x:c r="B31" s="129" t="str">
        <x:v>會員服務</x:v>
      </x:c>
      <x:c r="C31" s="129" t="str">
        <x:v>治理服務</x:v>
      </x:c>
      <x:c r="D31" s="129" t="str">
        <x:v>提升公司治理服務</x:v>
      </x:c>
      <x:c r="E31" s="129" t="str">
        <x:v>corpperform.html</x:v>
      </x:c>
      <x:c r="F31" s="129" t="str">
        <x:v>提升策略、輔導流程、收費、線上申請、服務窗口</x:v>
      </x:c>
      <x:c r="G31" s="129" t="str">
        <x:v>待建立</x:v>
      </x:c>
      <x:c r="H31" s="131" t="str">
        <x:v>待提供</x:v>
      </x:c>
      <x:c r="I31" s="131" t="str">
        <x:v>表單頁</x:v>
      </x:c>
      <x:c r="J31" s="135" t="str">
        <x:v>待內部確認</x:v>
      </x:c>
      <x:c r="K31" s="129" t="str"/>
    </x:row>
    <x:row r="32" ht="33" customHeight="1">
      <x:c r="A32" s="131" t="str">
        <x:v>P26</x:v>
      </x:c>
      <x:c r="B32" s="129" t="str">
        <x:v>最新消息</x:v>
      </x:c>
      <x:c r="C32" s="129" t="str">
        <x:v>消息</x:v>
      </x:c>
      <x:c r="D32" s="129" t="str">
        <x:v>協會消息</x:v>
      </x:c>
      <x:c r="E32" s="129" t="str">
        <x:v>news.html</x:v>
      </x:c>
      <x:c r="F32" s="129" t="str">
        <x:v>協會公告、課程講座、產業參與消息列表</x:v>
      </x:c>
      <x:c r="G32" s="129" t="str">
        <x:v>待建立</x:v>
      </x:c>
      <x:c r="H32" s="131" t="str">
        <x:v>待提供</x:v>
      </x:c>
      <x:c r="I32" s="131" t="str">
        <x:v>列表／歸檔頁</x:v>
      </x:c>
      <x:c r="J32" s="135" t="str">
        <x:v>待內部確認</x:v>
      </x:c>
      <x:c r="K32" s="129" t="str">
        <x:v>消息能否新增尚待確認</x:v>
      </x:c>
    </x:row>
    <x:row r="33" ht="33" customHeight="1">
      <x:c r="A33" s="131" t="str">
        <x:v>P27</x:v>
      </x:c>
      <x:c r="B33" s="129" t="str">
        <x:v>最新消息</x:v>
      </x:c>
      <x:c r="C33" s="129" t="str">
        <x:v>消息</x:v>
      </x:c>
      <x:c r="D33" s="129" t="str">
        <x:v>精彩回顧</x:v>
      </x:c>
      <x:c r="E33" s="129" t="str">
        <x:v>news-971146.html</x:v>
      </x:c>
      <x:c r="F33" s="129" t="str">
        <x:v>與活動課程共用的歷屆活動列表</x:v>
      </x:c>
      <x:c r="G33" s="129" t="str">
        <x:v>待建立</x:v>
      </x:c>
      <x:c r="H33" s="131" t="str">
        <x:v>待提供</x:v>
      </x:c>
      <x:c r="I33" s="131" t="str">
        <x:v>列表／歸檔頁</x:v>
      </x:c>
      <x:c r="J33" s="135" t="str">
        <x:v>待內部確認</x:v>
      </x:c>
      <x:c r="K33" s="129" t="str">
        <x:v>共用 P08 頁面</x:v>
      </x:c>
    </x:row>
    <x:row r="34" ht="33" customHeight="1">
      <x:c r="A34" s="131" t="str">
        <x:v>P28</x:v>
      </x:c>
      <x:c r="B34" s="129" t="str">
        <x:v>合作夥伴</x:v>
      </x:c>
      <x:c r="C34" s="129" t="str">
        <x:v>夥伴與贊助</x:v>
      </x:c>
      <x:c r="D34" s="129" t="str">
        <x:v>合作夥伴總覽</x:v>
      </x:c>
      <x:c r="E34" s="129" t="str">
        <x:v>partners.html</x:v>
      </x:c>
      <x:c r="F34" s="129" t="str">
        <x:v>贊助單位、會員優惠夥伴、贊助方案、合作 CTA</x:v>
      </x:c>
      <x:c r="G34" s="129" t="str">
        <x:v>待建立</x:v>
      </x:c>
      <x:c r="H34" s="131" t="str">
        <x:v>待提供</x:v>
      </x:c>
      <x:c r="I34" s="131" t="str">
        <x:v>固定說明頁</x:v>
      </x:c>
      <x:c r="J34" s="135" t="str">
        <x:v>待內部確認</x:v>
      </x:c>
      <x:c r="K34" s="129" t="str"/>
    </x:row>
    <x:row r="35" ht="33" customHeight="1">
      <x:c r="A35" s="131" t="str">
        <x:v>P29</x:v>
      </x:c>
      <x:c r="B35" s="129" t="str">
        <x:v>合作夥伴</x:v>
      </x:c>
      <x:c r="C35" s="129" t="str">
        <x:v>夥伴與贊助</x:v>
      </x:c>
      <x:c r="D35" s="129" t="str">
        <x:v>贊助方案</x:v>
      </x:c>
      <x:c r="E35" s="129" t="str">
        <x:v>partners.html#sponsor</x:v>
      </x:c>
      <x:c r="F35" s="129" t="str">
        <x:v>年度贊助方案說明</x:v>
      </x:c>
      <x:c r="G35" s="129" t="str">
        <x:v>Partners 對應段落</x:v>
      </x:c>
      <x:c r="H35" s="131" t="str">
        <x:v>待提供</x:v>
      </x:c>
      <x:c r="I35" s="131" t="str">
        <x:v>頁內區塊</x:v>
      </x:c>
      <x:c r="J35" s="135" t="str">
        <x:v>待內部確認</x:v>
      </x:c>
      <x:c r="K35" s="129" t="str"/>
    </x:row>
    <x:row r="36" ht="33" customHeight="1">
      <x:c r="A36" s="131" t="str">
        <x:v>P30</x:v>
      </x:c>
      <x:c r="B36" s="129" t="str">
        <x:v>合作夥伴</x:v>
      </x:c>
      <x:c r="C36" s="129" t="str">
        <x:v>夥伴與贊助</x:v>
      </x:c>
      <x:c r="D36" s="129" t="str">
        <x:v>聯絡我們</x:v>
      </x:c>
      <x:c r="E36" s="129" t="str">
        <x:v>contact.html</x:v>
      </x:c>
      <x:c r="F36" s="129" t="str">
        <x:v>聯絡資訊與留言表單</x:v>
      </x:c>
      <x:c r="G36" s="129" t="str">
        <x:v>英文舊頁</x:v>
      </x:c>
      <x:c r="H36" s="131" t="str">
        <x:v>部分已有</x:v>
      </x:c>
      <x:c r="I36" s="131" t="str">
        <x:v>表單頁</x:v>
      </x:c>
      <x:c r="J36" s="135" t="str">
        <x:v>待內部確認</x:v>
      </x:c>
      <x:c r="K36" s="129" t="str">
        <x:v>表單欄位不納入內容編輯</x:v>
      </x:c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</x:row>
  </x:sheetData>
  <x:mergeCells>
    <x:mergeCell ref="A1:K2"/>
    <x:mergeCell ref="A3:K3"/>
    <x:mergeCell ref="A4:K4"/>
  </x:mergeCells>
  <x:conditionalFormatting sqref="H6:H36">
    <x:cfRule type="containsText" dxfId="0" priority="1" operator="containsText" text="待提供"/>
    <x:cfRule type="containsText" dxfId="1" priority="2" operator="containsText" text="已有"/>
  </x:conditionalFormatting>
  <x:conditionalFormatting sqref="J6:J36">
    <x:cfRule type="containsText" dxfId="2" priority="3" operator="containsText" text="待內部確認"/>
  </x:conditionalFormatting>
  <x:dataValidations count="2">
    <x:dataValidation type="list" sqref="H6:H36">
      <x:formula1>"已有,既有但需重整,部分已有,待提供,不適用"</x:formula1>
    </x:dataValidation>
    <x:dataValidation type="list" sqref="J6:J36">
      <x:formula1>"待內部確認,靜態上架,後台可編輯,後台可新增"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8.889999389648438" hidden="0" customWidth="1"/>
    <x:col min="3" max="3" width="20.559999465942383" hidden="0" customWidth="1"/>
    <x:col min="4" max="4" width="23.329999923706055" hidden="0" customWidth="1"/>
    <x:col min="5" max="5" width="20" hidden="0" customWidth="1"/>
    <x:col min="6" max="6" width="12.779999732971191" hidden="0" customWidth="1"/>
    <x:col min="7" max="7" width="13.329999923706055" hidden="0" customWidth="1"/>
    <x:col min="8" max="8" width="15.5600004196167" hidden="0" customWidth="1"/>
    <x:col min="9" max="9" width="25.559999465942383" hidden="0" customWidth="1"/>
  </x:cols>
  <x:sheetData>
    <x:row r="1" ht="28.5" customHeight="1">
      <x:c r="A1" s="9" t="str">
        <x:v>TIRI 中英文頁面對應表</x:v>
      </x:c>
      <x:c r="B1" s="9" t="str">
        <x:v>TIRI 中英文頁面對應表</x:v>
      </x:c>
      <x:c r="C1" s="9" t="str">
        <x:v>TIRI 中英文頁面對應表</x:v>
      </x:c>
      <x:c r="D1" s="9" t="str">
        <x:v>TIRI 中英文頁面對應表</x:v>
      </x:c>
      <x:c r="E1" s="9" t="str">
        <x:v>TIRI 中英文頁面對應表</x:v>
      </x:c>
      <x:c r="F1" s="9" t="str">
        <x:v>TIRI 中英文頁面對應表</x:v>
      </x:c>
      <x:c r="G1" s="9" t="str">
        <x:v>TIRI 中英文頁面對應表</x:v>
      </x:c>
      <x:c r="H1" s="9" t="str">
        <x:v>TIRI 中英文頁面對應表</x:v>
      </x:c>
      <x:c r="I1" s="9" t="str">
        <x:v>TIRI 中英文頁面對應表</x:v>
      </x:c>
    </x:row>
    <x:row r="2" ht="28.5" customHeight="1">
      <x:c r="A2" s="9" t="str">
        <x:v>TIRI 中英文頁面對應表</x:v>
      </x:c>
      <x:c r="B2" s="9" t="str">
        <x:v>TIRI 中英文頁面對應表</x:v>
      </x:c>
      <x:c r="C2" s="9" t="str">
        <x:v>TIRI 中英文頁面對應表</x:v>
      </x:c>
      <x:c r="D2" s="9" t="str">
        <x:v>TIRI 中英文頁面對應表</x:v>
      </x:c>
      <x:c r="E2" s="9" t="str">
        <x:v>TIRI 中英文頁面對應表</x:v>
      </x:c>
      <x:c r="F2" s="9" t="str">
        <x:v>TIRI 中英文頁面對應表</x:v>
      </x:c>
      <x:c r="G2" s="9" t="str">
        <x:v>TIRI 中英文頁面對應表</x:v>
      </x:c>
      <x:c r="H2" s="9" t="str">
        <x:v>TIRI 中英文頁面對應表</x:v>
      </x:c>
      <x:c r="I2" s="9" t="str">
        <x:v>TIRI 中英文頁面對應表</x:v>
      </x:c>
    </x:row>
    <x:row r="3" ht="18" customHeight="1">
      <x:c r="A3" s="10" t="str">
        <x:v>目標：每個正式中文頁面都有相同架構與模板的英文對應頁</x:v>
      </x:c>
      <x:c r="B3" s="10" t="str">
        <x:v>目標：每個正式中文頁面都有相同架構與模板的英文對應頁</x:v>
      </x:c>
      <x:c r="C3" s="10" t="str">
        <x:v>目標：每個正式中文頁面都有相同架構與模板的英文對應頁</x:v>
      </x:c>
      <x:c r="D3" s="10" t="str">
        <x:v>目標：每個正式中文頁面都有相同架構與模板的英文對應頁</x:v>
      </x:c>
      <x:c r="E3" s="10" t="str">
        <x:v>目標：每個正式中文頁面都有相同架構與模板的英文對應頁</x:v>
      </x:c>
      <x:c r="F3" s="10" t="str">
        <x:v>目標：每個正式中文頁面都有相同架構與模板的英文對應頁</x:v>
      </x:c>
      <x:c r="G3" s="10" t="str">
        <x:v>目標：每個正式中文頁面都有相同架構與模板的英文對應頁</x:v>
      </x:c>
      <x:c r="H3" s="10" t="str">
        <x:v>目標：每個正式中文頁面都有相同架構與模板的英文對應頁</x:v>
      </x:c>
      <x:c r="I3" s="10" t="str">
        <x:v>目標：每個正式中文頁面都有相同架構與模板的英文對應頁</x:v>
      </x:c>
    </x:row>
    <x:row r="4" ht="25.5" customHeight="1">
      <x:c r="A4" s="124" t="str">
        <x:v>編號</x:v>
      </x:c>
      <x:c r="B4" s="124" t="str">
        <x:v>中文頁名</x:v>
      </x:c>
      <x:c r="C4" s="124" t="str">
        <x:v>中文 URL</x:v>
      </x:c>
      <x:c r="D4" s="124" t="str">
        <x:v>英文頁名（待 TIRI 確認）</x:v>
      </x:c>
      <x:c r="E4" s="124" t="str">
        <x:v>現有英文資料</x:v>
      </x:c>
      <x:c r="F4" s="124" t="str">
        <x:v>目標模板</x:v>
      </x:c>
      <x:c r="G4" s="124" t="str">
        <x:v>內容狀態</x:v>
      </x:c>
      <x:c r="H4" s="124" t="str">
        <x:v>內容負責</x:v>
      </x:c>
      <x:c r="I4" s="124" t="str">
        <x:v>備註</x:v>
      </x:c>
    </x:row>
    <x:row r="5" ht="31.5" customHeight="1">
      <x:c r="A5" s="130" t="str">
        <x:v>P00</x:v>
      </x:c>
      <x:c r="B5" s="128" t="str">
        <x:v>首頁</x:v>
      </x:c>
      <x:c r="C5" s="128" t="str">
        <x:v>index.html</x:v>
      </x:c>
      <x:c r="D5" s="128" t="str">
        <x:v>Home</x:v>
      </x:c>
      <x:c r="E5" s="128" t="str">
        <x:v>en.html（舊內容）</x:v>
      </x:c>
      <x:c r="F5" s="130" t="str">
        <x:v>與中文相同</x:v>
      </x:c>
      <x:c r="G5" s="130" t="str">
        <x:v>既有但需重整</x:v>
      </x:c>
      <x:c r="H5" s="130" t="str">
        <x:v>TIRI 提供／確認</x:v>
      </x:c>
      <x:c r="I5" s="128" t="str">
        <x:v>英文需套用中文相同模板</x:v>
      </x:c>
    </x:row>
    <x:row r="6" ht="31.5" customHeight="1">
      <x:c r="A6" s="131" t="str">
        <x:v>P01</x:v>
      </x:c>
      <x:c r="B6" s="129" t="str">
        <x:v>協會使命／創會緣起</x:v>
      </x:c>
      <x:c r="C6" s="129" t="str">
        <x:v>about.html</x:v>
      </x:c>
      <x:c r="D6" s="129" t="str">
        <x:v>About TIRI</x:v>
      </x:c>
      <x:c r="E6" s="129" t="str">
        <x:v>mission_en.html</x:v>
      </x:c>
      <x:c r="F6" s="131" t="str">
        <x:v>與中文相同</x:v>
      </x:c>
      <x:c r="G6" s="131" t="str">
        <x:v>部分已有</x:v>
      </x:c>
      <x:c r="H6" s="131" t="str">
        <x:v>TIRI 提供／確認</x:v>
      </x:c>
      <x:c r="I6" s="129" t="str">
        <x:v>需重組為 1:1 英文頁</x:v>
      </x:c>
    </x:row>
    <x:row r="7" ht="31.5" customHeight="1">
      <x:c r="A7" s="131" t="str">
        <x:v>P02</x:v>
      </x:c>
      <x:c r="B7" s="129" t="str">
        <x:v>第三屆理監事</x:v>
      </x:c>
      <x:c r="C7" s="129" t="str">
        <x:v>team2026.html</x:v>
      </x:c>
      <x:c r="D7" s="129" t="str">
        <x:v>Third Board of Directors</x:v>
      </x:c>
      <x:c r="E7" s="129" t="str">
        <x:v>team_en-2026.html</x:v>
      </x:c>
      <x:c r="F7" s="131" t="str">
        <x:v>與中文相同</x:v>
      </x:c>
      <x:c r="G7" s="131" t="str">
        <x:v>已有</x:v>
      </x:c>
      <x:c r="H7" s="131" t="str">
        <x:v>TIRI 提供／確認</x:v>
      </x:c>
      <x:c r="I7" s="129" t="str"/>
    </x:row>
    <x:row r="8" ht="31.5" customHeight="1">
      <x:c r="A8" s="131" t="str">
        <x:v>P03</x:v>
      </x:c>
      <x:c r="B8" s="129" t="str">
        <x:v>歷屆理監事</x:v>
      </x:c>
      <x:c r="C8" s="129" t="str">
        <x:v>board.html</x:v>
      </x:c>
      <x:c r="D8" s="129" t="str">
        <x:v>Board Archive</x:v>
      </x:c>
      <x:c r="E8" s="129" t="str">
        <x:v>board_en.html</x:v>
      </x:c>
      <x:c r="F8" s="131" t="str">
        <x:v>與中文相同</x:v>
      </x:c>
      <x:c r="G8" s="131" t="str">
        <x:v>已有</x:v>
      </x:c>
      <x:c r="H8" s="131" t="str">
        <x:v>TIRI 提供／確認</x:v>
      </x:c>
      <x:c r="I8" s="129" t="str"/>
    </x:row>
    <x:row r="9" ht="31.5" customHeight="1">
      <x:c r="A9" s="131" t="str">
        <x:v>P04</x:v>
      </x:c>
      <x:c r="B9" s="129" t="str">
        <x:v>功能委員會</x:v>
      </x:c>
      <x:c r="C9" s="129" t="str">
        <x:v>about.html#committee</x:v>
      </x:c>
      <x:c r="D9" s="129" t="str">
        <x:v>Committees</x:v>
      </x:c>
      <x:c r="E9" s="129" t="str">
        <x:v>About 對應段落</x:v>
      </x:c>
      <x:c r="F9" s="131" t="str">
        <x:v>與中文相同</x:v>
      </x:c>
      <x:c r="G9" s="131" t="str">
        <x:v>待提供</x:v>
      </x:c>
      <x:c r="H9" s="131" t="str">
        <x:v>TIRI 提供／確認</x:v>
      </x:c>
      <x:c r="I9" s="129" t="str"/>
    </x:row>
    <x:row r="10" ht="31.5" customHeight="1">
      <x:c r="A10" s="131" t="str">
        <x:v>P05</x:v>
      </x:c>
      <x:c r="B10" s="129" t="str">
        <x:v>功能與服務</x:v>
      </x:c>
      <x:c r="C10" s="129" t="str">
        <x:v>services.html</x:v>
      </x:c>
      <x:c r="D10" s="129" t="str">
        <x:v>Functions and Services</x:v>
      </x:c>
      <x:c r="E10" s="129" t="str">
        <x:v>services_en.html</x:v>
      </x:c>
      <x:c r="F10" s="131" t="str">
        <x:v>與中文相同</x:v>
      </x:c>
      <x:c r="G10" s="131" t="str">
        <x:v>已有</x:v>
      </x:c>
      <x:c r="H10" s="131" t="str">
        <x:v>TIRI 提供／確認</x:v>
      </x:c>
      <x:c r="I10" s="129" t="str"/>
    </x:row>
    <x:row r="11" ht="31.5" customHeight="1">
      <x:c r="A11" s="131" t="str">
        <x:v>P06</x:v>
      </x:c>
      <x:c r="B11" s="129" t="str">
        <x:v>鄧白氏企業認證™</x:v>
      </x:c>
      <x:c r="C11" s="129" t="str">
        <x:v>certificate.html</x:v>
      </x:c>
      <x:c r="D11" s="129" t="str">
        <x:v>D&amp;B Registered™ Certification</x:v>
      </x:c>
      <x:c r="E11" s="129" t="str">
        <x:v>待建立</x:v>
      </x:c>
      <x:c r="F11" s="131" t="str">
        <x:v>與中文相同</x:v>
      </x:c>
      <x:c r="G11" s="131" t="str">
        <x:v>待提供</x:v>
      </x:c>
      <x:c r="H11" s="131" t="str">
        <x:v>TIRI 提供／確認</x:v>
      </x:c>
      <x:c r="I11" s="129" t="str"/>
    </x:row>
    <x:row r="12" ht="31.5" customHeight="1">
      <x:c r="A12" s="131" t="str">
        <x:v>P07</x:v>
      </x:c>
      <x:c r="B12" s="129" t="str">
        <x:v>焦點與近期課程</x:v>
      </x:c>
      <x:c r="C12" s="129" t="str">
        <x:v>events.html</x:v>
      </x:c>
      <x:c r="D12" s="129" t="str">
        <x:v>Events and Courses</x:v>
      </x:c>
      <x:c r="E12" s="129" t="str">
        <x:v>待建立</x:v>
      </x:c>
      <x:c r="F12" s="131" t="str">
        <x:v>與中文相同</x:v>
      </x:c>
      <x:c r="G12" s="131" t="str">
        <x:v>待提供</x:v>
      </x:c>
      <x:c r="H12" s="131" t="str">
        <x:v>TIRI 提供／確認</x:v>
      </x:c>
      <x:c r="I12" s="129" t="str">
        <x:v>L1 名稱是否改為「課程與服務」待確認</x:v>
      </x:c>
    </x:row>
    <x:row r="13" ht="31.5" customHeight="1">
      <x:c r="A13" s="131" t="str">
        <x:v>P08</x:v>
      </x:c>
      <x:c r="B13" s="129" t="str">
        <x:v>精彩回顧</x:v>
      </x:c>
      <x:c r="C13" s="129" t="str">
        <x:v>news-971146.html</x:v>
      </x:c>
      <x:c r="D13" s="129" t="str">
        <x:v>Event Highlights</x:v>
      </x:c>
      <x:c r="E13" s="129" t="str">
        <x:v>待建立</x:v>
      </x:c>
      <x:c r="F13" s="131" t="str">
        <x:v>與中文相同</x:v>
      </x:c>
      <x:c r="G13" s="131" t="str">
        <x:v>待提供</x:v>
      </x:c>
      <x:c r="H13" s="131" t="str">
        <x:v>TIRI 提供／確認</x:v>
      </x:c>
      <x:c r="I13" s="129" t="str">
        <x:v>同時出現在最新消息導覽</x:v>
      </x:c>
    </x:row>
    <x:row r="14" ht="31.5" customHeight="1">
      <x:c r="A14" s="131" t="str">
        <x:v>P09</x:v>
      </x:c>
      <x:c r="B14" s="129" t="str">
        <x:v>TIRI Awards</x:v>
      </x:c>
      <x:c r="C14" s="129" t="str">
        <x:v>mission-206783.html</x:v>
      </x:c>
      <x:c r="D14" s="129" t="str">
        <x:v>TIRI Awards</x:v>
      </x:c>
      <x:c r="E14" s="129" t="str">
        <x:v>部分舊資料</x:v>
      </x:c>
      <x:c r="F14" s="131" t="str">
        <x:v>與中文相同</x:v>
      </x:c>
      <x:c r="G14" s="131" t="str">
        <x:v>部分已有</x:v>
      </x:c>
      <x:c r="H14" s="131" t="str">
        <x:v>TIRI 提供／確認</x:v>
      </x:c>
      <x:c r="I14" s="129" t="str"/>
    </x:row>
    <x:row r="15" ht="31.5" customHeight="1">
      <x:c r="A15" s="131" t="str">
        <x:v>P10</x:v>
      </x:c>
      <x:c r="B15" s="129" t="str">
        <x:v>TIRI 潛力進展獎</x:v>
      </x:c>
      <x:c r="C15" s="129" t="str">
        <x:v>mission-206783-766399.html</x:v>
      </x:c>
      <x:c r="D15" s="129" t="str">
        <x:v>TIRI Most Improved Award</x:v>
      </x:c>
      <x:c r="E15" s="129" t="str">
        <x:v>部分舊資料</x:v>
      </x:c>
      <x:c r="F15" s="131" t="str">
        <x:v>與中文相同</x:v>
      </x:c>
      <x:c r="G15" s="131" t="str">
        <x:v>部分已有</x:v>
      </x:c>
      <x:c r="H15" s="131" t="str">
        <x:v>TIRI 提供／確認</x:v>
      </x:c>
      <x:c r="I15" s="129" t="str"/>
    </x:row>
    <x:row r="16" ht="31.5" customHeight="1">
      <x:c r="A16" s="131" t="str">
        <x:v>P11</x:v>
      </x:c>
      <x:c r="B16" s="129" t="str">
        <x:v>TIRIC IR 專業實戰班</x:v>
      </x:c>
      <x:c r="C16" s="129" t="str">
        <x:v>tiric.html</x:v>
      </x:c>
      <x:c r="D16" s="129" t="str">
        <x:v>TIRIC IR Professional Program</x:v>
      </x:c>
      <x:c r="E16" s="129" t="str">
        <x:v>部分舊資料</x:v>
      </x:c>
      <x:c r="F16" s="131" t="str">
        <x:v>與中文相同</x:v>
      </x:c>
      <x:c r="G16" s="131" t="str">
        <x:v>部分已有</x:v>
      </x:c>
      <x:c r="H16" s="131" t="str">
        <x:v>TIRI 提供／確認</x:v>
      </x:c>
      <x:c r="I16" s="129" t="str"/>
    </x:row>
    <x:row r="17" ht="31.5" customHeight="1">
      <x:c r="A17" s="131" t="str">
        <x:v>P12</x:v>
      </x:c>
      <x:c r="B17" s="129" t="str">
        <x:v>董監事進修課程</x:v>
      </x:c>
      <x:c r="C17" s="129" t="str">
        <x:v>trainbod.html</x:v>
      </x:c>
      <x:c r="D17" s="129" t="str">
        <x:v>Director Continuing Education</x:v>
      </x:c>
      <x:c r="E17" s="129" t="str">
        <x:v>待建立</x:v>
      </x:c>
      <x:c r="F17" s="131" t="str">
        <x:v>與中文相同</x:v>
      </x:c>
      <x:c r="G17" s="131" t="str">
        <x:v>待提供</x:v>
      </x:c>
      <x:c r="H17" s="131" t="str">
        <x:v>TIRI 提供／確認</x:v>
      </x:c>
      <x:c r="I17" s="129" t="str"/>
    </x:row>
    <x:row r="18" ht="31.5" customHeight="1">
      <x:c r="A18" s="131" t="str">
        <x:v>P13</x:v>
      </x:c>
      <x:c r="B18" s="129" t="str">
        <x:v>IRC 國際證照</x:v>
      </x:c>
      <x:c r="C18" s="129" t="str">
        <x:v>certification.html</x:v>
      </x:c>
      <x:c r="D18" s="129" t="str">
        <x:v>IRC Certification</x:v>
      </x:c>
      <x:c r="E18" s="129" t="str">
        <x:v>部分英文資源</x:v>
      </x:c>
      <x:c r="F18" s="131" t="str">
        <x:v>與中文相同</x:v>
      </x:c>
      <x:c r="G18" s="131" t="str">
        <x:v>部分已有</x:v>
      </x:c>
      <x:c r="H18" s="131" t="str">
        <x:v>TIRI 提供／確認</x:v>
      </x:c>
      <x:c r="I18" s="129" t="str"/>
    </x:row>
    <x:row r="19" ht="31.5" customHeight="1">
      <x:c r="A19" s="131" t="str">
        <x:v>P14</x:v>
      </x:c>
      <x:c r="B19" s="129" t="str">
        <x:v>IRC 贊助獎學金</x:v>
      </x:c>
      <x:c r="C19" s="129" t="str">
        <x:v>scholarshipirc.html</x:v>
      </x:c>
      <x:c r="D19" s="129" t="str">
        <x:v>IRC Scholarship</x:v>
      </x:c>
      <x:c r="E19" s="129" t="str">
        <x:v>待建立</x:v>
      </x:c>
      <x:c r="F19" s="131" t="str">
        <x:v>與中文相同</x:v>
      </x:c>
      <x:c r="G19" s="131" t="str">
        <x:v>待提供</x:v>
      </x:c>
      <x:c r="H19" s="131" t="str">
        <x:v>TIRI 提供／確認</x:v>
      </x:c>
      <x:c r="I19" s="129" t="str"/>
    </x:row>
    <x:row r="20" ht="31.5" customHeight="1">
      <x:c r="A20" s="131" t="str">
        <x:v>P15</x:v>
      </x:c>
      <x:c r="B20" s="129" t="str">
        <x:v>知識總覽</x:v>
      </x:c>
      <x:c r="C20" s="129" t="str">
        <x:v>knowledge.html</x:v>
      </x:c>
      <x:c r="D20" s="129" t="str">
        <x:v>Knowledge Hub</x:v>
      </x:c>
      <x:c r="E20" s="129" t="str">
        <x:v>待建立</x:v>
      </x:c>
      <x:c r="F20" s="131" t="str">
        <x:v>與中文相同</x:v>
      </x:c>
      <x:c r="G20" s="131" t="str">
        <x:v>待提供</x:v>
      </x:c>
      <x:c r="H20" s="131" t="str">
        <x:v>TIRI 提供／確認</x:v>
      </x:c>
      <x:c r="I20" s="129" t="str"/>
    </x:row>
    <x:row r="21" ht="31.5" customHeight="1">
      <x:c r="A21" s="131" t="str">
        <x:v>P16</x:v>
      </x:c>
      <x:c r="B21" s="129" t="str">
        <x:v>證券雙月刊專欄</x:v>
      </x:c>
      <x:c r="C21" s="129" t="str">
        <x:v>news-387131-325944.html</x:v>
      </x:c>
      <x:c r="D21" s="129" t="str">
        <x:v>Securities Bimonthly Column</x:v>
      </x:c>
      <x:c r="E21" s="129" t="str">
        <x:v>部分英文素材</x:v>
      </x:c>
      <x:c r="F21" s="131" t="str">
        <x:v>與中文相同</x:v>
      </x:c>
      <x:c r="G21" s="131" t="str">
        <x:v>部分已有</x:v>
      </x:c>
      <x:c r="H21" s="131" t="str">
        <x:v>TIRI 提供／確認</x:v>
      </x:c>
      <x:c r="I21" s="129" t="str">
        <x:v>歷史文章是否全部雙語待確認</x:v>
      </x:c>
    </x:row>
    <x:row r="22" ht="31.5" customHeight="1">
      <x:c r="A22" s="131" t="str">
        <x:v>P17</x:v>
      </x:c>
      <x:c r="B22" s="129" t="str">
        <x:v>TIRI 年刊</x:v>
      </x:c>
      <x:c r="C22" s="129" t="str">
        <x:v>5th_report-516844.html</x:v>
      </x:c>
      <x:c r="D22" s="129" t="str">
        <x:v>TIRI Yearbook</x:v>
      </x:c>
      <x:c r="E22" s="129" t="str">
        <x:v>部分英文 PDF</x:v>
      </x:c>
      <x:c r="F22" s="131" t="str">
        <x:v>與中文相同</x:v>
      </x:c>
      <x:c r="G22" s="131" t="str">
        <x:v>部分已有</x:v>
      </x:c>
      <x:c r="H22" s="131" t="str">
        <x:v>TIRI 提供／確認</x:v>
      </x:c>
      <x:c r="I22" s="129" t="str"/>
    </x:row>
    <x:row r="23" ht="31.5" customHeight="1">
      <x:c r="A23" s="131" t="str">
        <x:v>P18</x:v>
      </x:c>
      <x:c r="B23" s="129" t="str">
        <x:v>專文分享</x:v>
      </x:c>
      <x:c r="C23" s="129" t="str">
        <x:v>news-387131-325944-831518.html</x:v>
      </x:c>
      <x:c r="D23" s="129" t="str">
        <x:v>Featured Articles</x:v>
      </x:c>
      <x:c r="E23" s="129" t="str">
        <x:v>待建立</x:v>
      </x:c>
      <x:c r="F23" s="131" t="str">
        <x:v>與中文相同</x:v>
      </x:c>
      <x:c r="G23" s="131" t="str">
        <x:v>待提供</x:v>
      </x:c>
      <x:c r="H23" s="131" t="str">
        <x:v>TIRI 提供／確認</x:v>
      </x:c>
      <x:c r="I23" s="129" t="str"/>
    </x:row>
    <x:row r="24" ht="31.5" customHeight="1">
      <x:c r="A24" s="131" t="str">
        <x:v>P19</x:v>
      </x:c>
      <x:c r="B24" s="129" t="str">
        <x:v>NIRI IR Update 精選</x:v>
      </x:c>
      <x:c r="C24" s="129" t="str">
        <x:v>irupdatestc.html</x:v>
      </x:c>
      <x:c r="D24" s="129" t="str">
        <x:v>NIRI IR Update</x:v>
      </x:c>
      <x:c r="E24" s="129" t="str">
        <x:v>原始英文資源</x:v>
      </x:c>
      <x:c r="F24" s="131" t="str">
        <x:v>與中文相同</x:v>
      </x:c>
      <x:c r="G24" s="131" t="str">
        <x:v>部分已有</x:v>
      </x:c>
      <x:c r="H24" s="131" t="str">
        <x:v>TIRI 提供／確認</x:v>
      </x:c>
      <x:c r="I24" s="129" t="str"/>
    </x:row>
    <x:row r="25" ht="31.5" customHeight="1">
      <x:c r="A25" s="131" t="str">
        <x:v>P20</x:v>
      </x:c>
      <x:c r="B25" s="129" t="str">
        <x:v>專訪沈馥馥理事長</x:v>
      </x:c>
      <x:c r="C25" s="129" t="str">
        <x:v>2356035370-277843933339333297022010738263.html</x:v>
      </x:c>
      <x:c r="D25" s="129" t="str">
        <x:v>Interview with Founding Chair Fu-Fu Shen</x:v>
      </x:c>
      <x:c r="E25" s="129" t="str">
        <x:v>待建立</x:v>
      </x:c>
      <x:c r="F25" s="131" t="str">
        <x:v>與中文相同</x:v>
      </x:c>
      <x:c r="G25" s="131" t="str">
        <x:v>待提供</x:v>
      </x:c>
      <x:c r="H25" s="131" t="str">
        <x:v>TIRI 提供／確認</x:v>
      </x:c>
      <x:c r="I25" s="129" t="str"/>
    </x:row>
    <x:row r="26" ht="31.5" customHeight="1">
      <x:c r="A26" s="131" t="str">
        <x:v>P21</x:v>
      </x:c>
      <x:c r="B26" s="129" t="str">
        <x:v>會員類別與會費</x:v>
      </x:c>
      <x:c r="C26" s="129" t="str">
        <x:v>membership.html</x:v>
      </x:c>
      <x:c r="D26" s="129" t="str">
        <x:v>Membership Categories and Fees</x:v>
      </x:c>
      <x:c r="E26" s="129" t="str">
        <x:v>待建立</x:v>
      </x:c>
      <x:c r="F26" s="131" t="str">
        <x:v>與中文相同</x:v>
      </x:c>
      <x:c r="G26" s="131" t="str">
        <x:v>待提供</x:v>
      </x:c>
      <x:c r="H26" s="131" t="str">
        <x:v>TIRI 提供／確認</x:v>
      </x:c>
      <x:c r="I26" s="129" t="str"/>
    </x:row>
    <x:row r="27" ht="31.5" customHeight="1">
      <x:c r="A27" s="131" t="str">
        <x:v>P22</x:v>
      </x:c>
      <x:c r="B27" s="129" t="str">
        <x:v>會員專屬優惠</x:v>
      </x:c>
      <x:c r="C27" s="129" t="str">
        <x:v>benefit.html</x:v>
      </x:c>
      <x:c r="D27" s="129" t="str">
        <x:v>Member Benefits</x:v>
      </x:c>
      <x:c r="E27" s="129" t="str">
        <x:v>部分舊資料</x:v>
      </x:c>
      <x:c r="F27" s="131" t="str">
        <x:v>與中文相同</x:v>
      </x:c>
      <x:c r="G27" s="131" t="str">
        <x:v>部分已有</x:v>
      </x:c>
      <x:c r="H27" s="131" t="str">
        <x:v>TIRI 提供／確認</x:v>
      </x:c>
      <x:c r="I27" s="129" t="str"/>
    </x:row>
    <x:row r="28" ht="31.5" customHeight="1">
      <x:c r="A28" s="131" t="str">
        <x:v>P23</x:v>
      </x:c>
      <x:c r="B28" s="129" t="str">
        <x:v>加入會員</x:v>
      </x:c>
      <x:c r="C28" s="129" t="str">
        <x:v>join.html</x:v>
      </x:c>
      <x:c r="D28" s="129" t="str">
        <x:v>Join TIRI</x:v>
      </x:c>
      <x:c r="E28" s="129" t="str">
        <x:v>英文舊頁／申請文件</x:v>
      </x:c>
      <x:c r="F28" s="131" t="str">
        <x:v>與中文相同</x:v>
      </x:c>
      <x:c r="G28" s="131" t="str">
        <x:v>部分已有</x:v>
      </x:c>
      <x:c r="H28" s="131" t="str">
        <x:v>TIRI 提供／確認</x:v>
      </x:c>
      <x:c r="I28" s="129" t="str">
        <x:v>表單欄位不納入內容編輯</x:v>
      </x:c>
    </x:row>
    <x:row r="29" ht="31.5" customHeight="1">
      <x:c r="A29" s="131" t="str">
        <x:v>P24</x:v>
      </x:c>
      <x:c r="B29" s="129" t="str">
        <x:v>董事會績效評估</x:v>
      </x:c>
      <x:c r="C29" s="129" t="str">
        <x:v>bodperform.html</x:v>
      </x:c>
      <x:c r="D29" s="129" t="str">
        <x:v>Board Performance Evaluation</x:v>
      </x:c>
      <x:c r="E29" s="129" t="str">
        <x:v>待建立</x:v>
      </x:c>
      <x:c r="F29" s="131" t="str">
        <x:v>與中文相同</x:v>
      </x:c>
      <x:c r="G29" s="131" t="str">
        <x:v>待提供</x:v>
      </x:c>
      <x:c r="H29" s="131" t="str">
        <x:v>TIRI 提供／確認</x:v>
      </x:c>
      <x:c r="I29" s="129" t="str"/>
    </x:row>
    <x:row r="30" ht="31.5" customHeight="1">
      <x:c r="A30" s="131" t="str">
        <x:v>P25</x:v>
      </x:c>
      <x:c r="B30" s="129" t="str">
        <x:v>提升公司治理服務</x:v>
      </x:c>
      <x:c r="C30" s="129" t="str">
        <x:v>corpperform.html</x:v>
      </x:c>
      <x:c r="D30" s="129" t="str">
        <x:v>Corporate Governance Services</x:v>
      </x:c>
      <x:c r="E30" s="129" t="str">
        <x:v>待建立</x:v>
      </x:c>
      <x:c r="F30" s="131" t="str">
        <x:v>與中文相同</x:v>
      </x:c>
      <x:c r="G30" s="131" t="str">
        <x:v>待提供</x:v>
      </x:c>
      <x:c r="H30" s="131" t="str">
        <x:v>TIRI 提供／確認</x:v>
      </x:c>
      <x:c r="I30" s="129" t="str"/>
    </x:row>
    <x:row r="31" ht="31.5" customHeight="1">
      <x:c r="A31" s="131" t="str">
        <x:v>P26</x:v>
      </x:c>
      <x:c r="B31" s="129" t="str">
        <x:v>協會消息</x:v>
      </x:c>
      <x:c r="C31" s="129" t="str">
        <x:v>news.html</x:v>
      </x:c>
      <x:c r="D31" s="129" t="str">
        <x:v>Latest News</x:v>
      </x:c>
      <x:c r="E31" s="129" t="str">
        <x:v>待建立</x:v>
      </x:c>
      <x:c r="F31" s="131" t="str">
        <x:v>與中文相同</x:v>
      </x:c>
      <x:c r="G31" s="131" t="str">
        <x:v>待提供</x:v>
      </x:c>
      <x:c r="H31" s="131" t="str">
        <x:v>TIRI 提供／確認</x:v>
      </x:c>
      <x:c r="I31" s="129" t="str">
        <x:v>消息能否新增尚待確認</x:v>
      </x:c>
    </x:row>
    <x:row r="32" ht="31.5" customHeight="1">
      <x:c r="A32" s="131" t="str">
        <x:v>P28</x:v>
      </x:c>
      <x:c r="B32" s="129" t="str">
        <x:v>合作夥伴總覽</x:v>
      </x:c>
      <x:c r="C32" s="129" t="str">
        <x:v>partners.html</x:v>
      </x:c>
      <x:c r="D32" s="129" t="str">
        <x:v>Partners</x:v>
      </x:c>
      <x:c r="E32" s="129" t="str">
        <x:v>待建立</x:v>
      </x:c>
      <x:c r="F32" s="131" t="str">
        <x:v>與中文相同</x:v>
      </x:c>
      <x:c r="G32" s="131" t="str">
        <x:v>待提供</x:v>
      </x:c>
      <x:c r="H32" s="131" t="str">
        <x:v>TIRI 提供／確認</x:v>
      </x:c>
      <x:c r="I32" s="129" t="str"/>
    </x:row>
    <x:row r="33" ht="31.5" customHeight="1">
      <x:c r="A33" s="131" t="str">
        <x:v>P29</x:v>
      </x:c>
      <x:c r="B33" s="129" t="str">
        <x:v>贊助方案</x:v>
      </x:c>
      <x:c r="C33" s="129" t="str">
        <x:v>partners.html#sponsor</x:v>
      </x:c>
      <x:c r="D33" s="129" t="str">
        <x:v>Sponsorship</x:v>
      </x:c>
      <x:c r="E33" s="129" t="str">
        <x:v>Partners 對應段落</x:v>
      </x:c>
      <x:c r="F33" s="131" t="str">
        <x:v>與中文相同</x:v>
      </x:c>
      <x:c r="G33" s="131" t="str">
        <x:v>待提供</x:v>
      </x:c>
      <x:c r="H33" s="131" t="str">
        <x:v>TIRI 提供／確認</x:v>
      </x:c>
      <x:c r="I33" s="129" t="str"/>
    </x:row>
    <x:row r="34" ht="31.5" customHeight="1">
      <x:c r="A34" s="131" t="str">
        <x:v>P30</x:v>
      </x:c>
      <x:c r="B34" s="129" t="str">
        <x:v>聯絡我們</x:v>
      </x:c>
      <x:c r="C34" s="129" t="str">
        <x:v>contact.html</x:v>
      </x:c>
      <x:c r="D34" s="129" t="str">
        <x:v>Contact Us</x:v>
      </x:c>
      <x:c r="E34" s="129" t="str">
        <x:v>英文舊頁</x:v>
      </x:c>
      <x:c r="F34" s="131" t="str">
        <x:v>與中文相同</x:v>
      </x:c>
      <x:c r="G34" s="131" t="str">
        <x:v>部分已有</x:v>
      </x:c>
      <x:c r="H34" s="131" t="str">
        <x:v>TIRI 提供／確認</x:v>
      </x:c>
      <x:c r="I34" s="129" t="str">
        <x:v>表單欄位不納入內容編輯</x:v>
      </x:c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</x:row>
  </x:sheetData>
  <x:mergeCells>
    <x:mergeCell ref="A1:I2"/>
    <x:mergeCell ref="A3:I3"/>
  </x:mergeCells>
  <x:conditionalFormatting sqref="G5:G34">
    <x:cfRule type="containsText" dxfId="3" priority="1" operator="containsText" text="待提供"/>
    <x:cfRule type="containsText" dxfId="4" priority="2" operator="containsText" text="已有"/>
  </x:conditionalFormatting>
  <x:dataValidations count="1">
    <x:dataValidation type="list" sqref="G5:G34">
      <x:formula1>"已有,既有但需重整,部分已有,待提供,不適用"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27.219999313354492" hidden="0" customWidth="1"/>
    <x:col min="3" max="3" width="12.220000267028809" hidden="0" customWidth="1"/>
    <x:col min="4" max="4" width="10" hidden="0" customWidth="1"/>
    <x:col min="5" max="5" width="9.779999732971191" hidden="0" customWidth="1"/>
    <x:col min="6" max="6" width="9.779999732971191" hidden="0" customWidth="1"/>
    <x:col min="7" max="7" width="23.329999923706055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</x:cols>
  <x:sheetData>
    <x:row r="1" ht="28.5" customHeight="1">
      <x:c r="A1" s="9" t="str">
        <x:v>TIRI V1 前台、雙語與 CMS 專案時程</x:v>
      </x:c>
      <x:c r="B1" s="9" t="str">
        <x:v>TIRI V1 前台、雙語與 CMS 專案時程</x:v>
      </x:c>
      <x:c r="C1" s="9" t="str">
        <x:v>TIRI V1 前台、雙語與 CMS 專案時程</x:v>
      </x:c>
      <x:c r="D1" s="9" t="str">
        <x:v>TIRI V1 前台、雙語與 CMS 專案時程</x:v>
      </x:c>
      <x:c r="E1" s="9" t="str">
        <x:v>TIRI V1 前台、雙語與 CMS 專案時程</x:v>
      </x:c>
      <x:c r="F1" s="9" t="str">
        <x:v>TIRI V1 前台、雙語與 CMS 專案時程</x:v>
      </x:c>
      <x:c r="G1" s="9" t="str">
        <x:v>TIRI V1 前台、雙語與 CMS 專案時程</x:v>
      </x:c>
      <x:c r="H1" s="9" t="str">
        <x:v>TIRI V1 前台、雙語與 CMS 專案時程</x:v>
      </x:c>
      <x:c r="I1" s="9" t="str">
        <x:v>TIRI V1 前台、雙語與 CMS 專案時程</x:v>
      </x:c>
      <x:c r="J1" s="9" t="str">
        <x:v>TIRI V1 前台、雙語與 CMS 專案時程</x:v>
      </x:c>
      <x:c r="K1" s="9" t="str">
        <x:v>TIRI V1 前台、雙語與 CMS 專案時程</x:v>
      </x:c>
      <x:c r="L1" s="9" t="str">
        <x:v>TIRI V1 前台、雙語與 CMS 專案時程</x:v>
      </x:c>
      <x:c r="M1" s="9" t="str">
        <x:v>TIRI V1 前台、雙語與 CMS 專案時程</x:v>
      </x:c>
      <x:c r="N1" s="9" t="str">
        <x:v>TIRI V1 前台、雙語與 CMS 專案時程</x:v>
      </x:c>
      <x:c r="O1" s="9" t="str">
        <x:v>TIRI V1 前台、雙語與 CMS 專案時程</x:v>
      </x:c>
      <x:c r="P1" s="9" t="str">
        <x:v>TIRI V1 前台、雙語與 CMS 專案時程</x:v>
      </x:c>
      <x:c r="Q1" s="9" t="str">
        <x:v>TIRI V1 前台、雙語與 CMS 專案時程</x:v>
      </x:c>
      <x:c r="R1" s="9" t="str">
        <x:v>TIRI V1 前台、雙語與 CMS 專案時程</x:v>
      </x:c>
      <x:c r="S1" s="9" t="str">
        <x:v>TIRI V1 前台、雙語與 CMS 專案時程</x:v>
      </x:c>
      <x:c r="T1" s="9" t="str">
        <x:v>TIRI V1 前台、雙語與 CMS 專案時程</x:v>
      </x:c>
      <x:c r="U1" s="9" t="str">
        <x:v>TIRI V1 前台、雙語與 CMS 專案時程</x:v>
      </x:c>
      <x:c r="V1" s="9" t="str">
        <x:v>TIRI V1 前台、雙語與 CMS 專案時程</x:v>
      </x:c>
      <x:c r="W1" s="9" t="str">
        <x:v>TIRI V1 前台、雙語與 CMS 專案時程</x:v>
      </x:c>
      <x:c r="X1" s="9" t="str">
        <x:v>TIRI V1 前台、雙語與 CMS 專案時程</x:v>
      </x:c>
      <x:c r="Y1" s="9" t="str">
        <x:v>TIRI V1 前台、雙語與 CMS 專案時程</x:v>
      </x:c>
      <x:c r="Z1" s="9" t="str">
        <x:v>TIRI V1 前台、雙語與 CMS 專案時程</x:v>
      </x:c>
      <x:c r="AA1" s="9" t="str">
        <x:v>TIRI V1 前台、雙語與 CMS 專案時程</x:v>
      </x:c>
      <x:c r="AB1" s="9" t="str">
        <x:v>TIRI V1 前台、雙語與 CMS 專案時程</x:v>
      </x:c>
      <x:c r="AC1" s="9" t="str">
        <x:v>TIRI V1 前台、雙語與 CMS 專案時程</x:v>
      </x:c>
      <x:c r="AD1" s="9" t="str">
        <x:v>TIRI V1 前台、雙語與 CMS 專案時程</x:v>
      </x:c>
      <x:c r="AE1" s="9" t="str">
        <x:v>TIRI V1 前台、雙語與 CMS 專案時程</x:v>
      </x:c>
      <x:c r="AF1" s="9" t="str">
        <x:v>TIRI V1 前台、雙語與 CMS 專案時程</x:v>
      </x:c>
      <x:c r="AG1" s="9" t="str">
        <x:v>TIRI V1 前台、雙語與 CMS 專案時程</x:v>
      </x:c>
      <x:c r="AH1" s="9" t="str">
        <x:v>TIRI V1 前台、雙語與 CMS 專案時程</x:v>
      </x:c>
      <x:c r="AI1" s="9" t="str">
        <x:v>TIRI V1 前台、雙語與 CMS 專案時程</x:v>
      </x:c>
      <x:c r="AJ1" s="9" t="str">
        <x:v>TIRI V1 前台、雙語與 CMS 專案時程</x:v>
      </x:c>
      <x:c r="AK1" s="9" t="str">
        <x:v>TIRI V1 前台、雙語與 CMS 專案時程</x:v>
      </x:c>
      <x:c r="AL1" s="9" t="str">
        <x:v>TIRI V1 前台、雙語與 CMS 專案時程</x:v>
      </x:c>
      <x:c r="AM1" s="9" t="str">
        <x:v>TIRI V1 前台、雙語與 CMS 專案時程</x:v>
      </x:c>
      <x:c r="AN1" s="9" t="str">
        <x:v>TIRI V1 前台、雙語與 CMS 專案時程</x:v>
      </x:c>
      <x:c r="AO1" s="9" t="str">
        <x:v>TIRI V1 前台、雙語與 CMS 專案時程</x:v>
      </x:c>
      <x:c r="AP1" s="9" t="str">
        <x:v>TIRI V1 前台、雙語與 CMS 專案時程</x:v>
      </x:c>
      <x:c r="AQ1" s="9" t="str">
        <x:v>TIRI V1 前台、雙語與 CMS 專案時程</x:v>
      </x:c>
      <x:c r="AR1" s="9" t="str">
        <x:v>TIRI V1 前台、雙語與 CMS 專案時程</x:v>
      </x:c>
    </x:row>
    <x:row r="2" ht="28.5" customHeight="1">
      <x:c r="A2" s="9" t="str">
        <x:v>TIRI V1 前台、雙語與 CMS 專案時程</x:v>
      </x:c>
      <x:c r="B2" s="9" t="str">
        <x:v>TIRI V1 前台、雙語與 CMS 專案時程</x:v>
      </x:c>
      <x:c r="C2" s="9" t="str">
        <x:v>TIRI V1 前台、雙語與 CMS 專案時程</x:v>
      </x:c>
      <x:c r="D2" s="9" t="str">
        <x:v>TIRI V1 前台、雙語與 CMS 專案時程</x:v>
      </x:c>
      <x:c r="E2" s="9" t="str">
        <x:v>TIRI V1 前台、雙語與 CMS 專案時程</x:v>
      </x:c>
      <x:c r="F2" s="9" t="str">
        <x:v>TIRI V1 前台、雙語與 CMS 專案時程</x:v>
      </x:c>
      <x:c r="G2" s="9" t="str">
        <x:v>TIRI V1 前台、雙語與 CMS 專案時程</x:v>
      </x:c>
      <x:c r="H2" s="9" t="str">
        <x:v>TIRI V1 前台、雙語與 CMS 專案時程</x:v>
      </x:c>
      <x:c r="I2" s="9" t="str">
        <x:v>TIRI V1 前台、雙語與 CMS 專案時程</x:v>
      </x:c>
      <x:c r="J2" s="9" t="str">
        <x:v>TIRI V1 前台、雙語與 CMS 專案時程</x:v>
      </x:c>
      <x:c r="K2" s="9" t="str">
        <x:v>TIRI V1 前台、雙語與 CMS 專案時程</x:v>
      </x:c>
      <x:c r="L2" s="9" t="str">
        <x:v>TIRI V1 前台、雙語與 CMS 專案時程</x:v>
      </x:c>
      <x:c r="M2" s="9" t="str">
        <x:v>TIRI V1 前台、雙語與 CMS 專案時程</x:v>
      </x:c>
      <x:c r="N2" s="9" t="str">
        <x:v>TIRI V1 前台、雙語與 CMS 專案時程</x:v>
      </x:c>
      <x:c r="O2" s="9" t="str">
        <x:v>TIRI V1 前台、雙語與 CMS 專案時程</x:v>
      </x:c>
      <x:c r="P2" s="9" t="str">
        <x:v>TIRI V1 前台、雙語與 CMS 專案時程</x:v>
      </x:c>
      <x:c r="Q2" s="9" t="str">
        <x:v>TIRI V1 前台、雙語與 CMS 專案時程</x:v>
      </x:c>
      <x:c r="R2" s="9" t="str">
        <x:v>TIRI V1 前台、雙語與 CMS 專案時程</x:v>
      </x:c>
      <x:c r="S2" s="9" t="str">
        <x:v>TIRI V1 前台、雙語與 CMS 專案時程</x:v>
      </x:c>
      <x:c r="T2" s="9" t="str">
        <x:v>TIRI V1 前台、雙語與 CMS 專案時程</x:v>
      </x:c>
      <x:c r="U2" s="9" t="str">
        <x:v>TIRI V1 前台、雙語與 CMS 專案時程</x:v>
      </x:c>
      <x:c r="V2" s="9" t="str">
        <x:v>TIRI V1 前台、雙語與 CMS 專案時程</x:v>
      </x:c>
      <x:c r="W2" s="9" t="str">
        <x:v>TIRI V1 前台、雙語與 CMS 專案時程</x:v>
      </x:c>
      <x:c r="X2" s="9" t="str">
        <x:v>TIRI V1 前台、雙語與 CMS 專案時程</x:v>
      </x:c>
      <x:c r="Y2" s="9" t="str">
        <x:v>TIRI V1 前台、雙語與 CMS 專案時程</x:v>
      </x:c>
      <x:c r="Z2" s="9" t="str">
        <x:v>TIRI V1 前台、雙語與 CMS 專案時程</x:v>
      </x:c>
      <x:c r="AA2" s="9" t="str">
        <x:v>TIRI V1 前台、雙語與 CMS 專案時程</x:v>
      </x:c>
      <x:c r="AB2" s="9" t="str">
        <x:v>TIRI V1 前台、雙語與 CMS 專案時程</x:v>
      </x:c>
      <x:c r="AC2" s="9" t="str">
        <x:v>TIRI V1 前台、雙語與 CMS 專案時程</x:v>
      </x:c>
      <x:c r="AD2" s="9" t="str">
        <x:v>TIRI V1 前台、雙語與 CMS 專案時程</x:v>
      </x:c>
      <x:c r="AE2" s="9" t="str">
        <x:v>TIRI V1 前台、雙語與 CMS 專案時程</x:v>
      </x:c>
      <x:c r="AF2" s="9" t="str">
        <x:v>TIRI V1 前台、雙語與 CMS 專案時程</x:v>
      </x:c>
      <x:c r="AG2" s="9" t="str">
        <x:v>TIRI V1 前台、雙語與 CMS 專案時程</x:v>
      </x:c>
      <x:c r="AH2" s="9" t="str">
        <x:v>TIRI V1 前台、雙語與 CMS 專案時程</x:v>
      </x:c>
      <x:c r="AI2" s="9" t="str">
        <x:v>TIRI V1 前台、雙語與 CMS 專案時程</x:v>
      </x:c>
      <x:c r="AJ2" s="9" t="str">
        <x:v>TIRI V1 前台、雙語與 CMS 專案時程</x:v>
      </x:c>
      <x:c r="AK2" s="9" t="str">
        <x:v>TIRI V1 前台、雙語與 CMS 專案時程</x:v>
      </x:c>
      <x:c r="AL2" s="9" t="str">
        <x:v>TIRI V1 前台、雙語與 CMS 專案時程</x:v>
      </x:c>
      <x:c r="AM2" s="9" t="str">
        <x:v>TIRI V1 前台、雙語與 CMS 專案時程</x:v>
      </x:c>
      <x:c r="AN2" s="9" t="str">
        <x:v>TIRI V1 前台、雙語與 CMS 專案時程</x:v>
      </x:c>
      <x:c r="AO2" s="9" t="str">
        <x:v>TIRI V1 前台、雙語與 CMS 專案時程</x:v>
      </x:c>
      <x:c r="AP2" s="9" t="str">
        <x:v>TIRI V1 前台、雙語與 CMS 專案時程</x:v>
      </x:c>
      <x:c r="AQ2" s="9" t="str">
        <x:v>TIRI V1 前台、雙語與 CMS 專案時程</x:v>
      </x:c>
      <x:c r="AR2" s="9" t="str">
        <x:v>TIRI V1 前台、雙語與 CMS 專案時程</x:v>
      </x:c>
    </x:row>
    <x:row r="3" ht="18" customHeight="1">
      <x:c r="A3" s="10" t="str">
        <x:v>目標上線日：2026-09-15｜CMS 實作內容以內部完成範圍決策後為準</x:v>
      </x:c>
      <x:c r="B3" s="10" t="str">
        <x:v>目標上線日：2026-09-15｜CMS 實作內容以內部完成範圍決策後為準</x:v>
      </x:c>
      <x:c r="C3" s="10" t="str">
        <x:v>目標上線日：2026-09-15｜CMS 實作內容以內部完成範圍決策後為準</x:v>
      </x:c>
      <x:c r="D3" s="10" t="str">
        <x:v>目標上線日：2026-09-15｜CMS 實作內容以內部完成範圍決策後為準</x:v>
      </x:c>
      <x:c r="E3" s="10" t="str">
        <x:v>目標上線日：2026-09-15｜CMS 實作內容以內部完成範圍決策後為準</x:v>
      </x:c>
      <x:c r="F3" s="10" t="str">
        <x:v>目標上線日：2026-09-15｜CMS 實作內容以內部完成範圍決策後為準</x:v>
      </x:c>
      <x:c r="G3" s="10" t="str">
        <x:v>目標上線日：2026-09-15｜CMS 實作內容以內部完成範圍決策後為準</x:v>
      </x:c>
      <x:c r="H3" s="10" t="str">
        <x:v>目標上線日：2026-09-15｜CMS 實作內容以內部完成範圍決策後為準</x:v>
      </x:c>
      <x:c r="I3" s="10" t="str">
        <x:v>目標上線日：2026-09-15｜CMS 實作內容以內部完成範圍決策後為準</x:v>
      </x:c>
      <x:c r="J3" s="10" t="str">
        <x:v>目標上線日：2026-09-15｜CMS 實作內容以內部完成範圍決策後為準</x:v>
      </x:c>
      <x:c r="K3" s="10" t="str">
        <x:v>目標上線日：2026-09-15｜CMS 實作內容以內部完成範圍決策後為準</x:v>
      </x:c>
      <x:c r="L3" s="10" t="str">
        <x:v>目標上線日：2026-09-15｜CMS 實作內容以內部完成範圍決策後為準</x:v>
      </x:c>
      <x:c r="M3" s="10" t="str">
        <x:v>目標上線日：2026-09-15｜CMS 實作內容以內部完成範圍決策後為準</x:v>
      </x:c>
      <x:c r="N3" s="10" t="str">
        <x:v>目標上線日：2026-09-15｜CMS 實作內容以內部完成範圍決策後為準</x:v>
      </x:c>
      <x:c r="O3" s="10" t="str">
        <x:v>目標上線日：2026-09-15｜CMS 實作內容以內部完成範圍決策後為準</x:v>
      </x:c>
      <x:c r="P3" s="10" t="str">
        <x:v>目標上線日：2026-09-15｜CMS 實作內容以內部完成範圍決策後為準</x:v>
      </x:c>
      <x:c r="Q3" s="10" t="str">
        <x:v>目標上線日：2026-09-15｜CMS 實作內容以內部完成範圍決策後為準</x:v>
      </x:c>
      <x:c r="R3" s="10" t="str">
        <x:v>目標上線日：2026-09-15｜CMS 實作內容以內部完成範圍決策後為準</x:v>
      </x:c>
      <x:c r="S3" s="10" t="str">
        <x:v>目標上線日：2026-09-15｜CMS 實作內容以內部完成範圍決策後為準</x:v>
      </x:c>
      <x:c r="T3" s="10" t="str">
        <x:v>目標上線日：2026-09-15｜CMS 實作內容以內部完成範圍決策後為準</x:v>
      </x:c>
      <x:c r="U3" s="10" t="str">
        <x:v>目標上線日：2026-09-15｜CMS 實作內容以內部完成範圍決策後為準</x:v>
      </x:c>
      <x:c r="V3" s="10" t="str">
        <x:v>目標上線日：2026-09-15｜CMS 實作內容以內部完成範圍決策後為準</x:v>
      </x:c>
      <x:c r="W3" s="10" t="str">
        <x:v>目標上線日：2026-09-15｜CMS 實作內容以內部完成範圍決策後為準</x:v>
      </x:c>
      <x:c r="X3" s="10" t="str">
        <x:v>目標上線日：2026-09-15｜CMS 實作內容以內部完成範圍決策後為準</x:v>
      </x:c>
      <x:c r="Y3" s="10" t="str">
        <x:v>目標上線日：2026-09-15｜CMS 實作內容以內部完成範圍決策後為準</x:v>
      </x:c>
      <x:c r="Z3" s="10" t="str">
        <x:v>目標上線日：2026-09-15｜CMS 實作內容以內部完成範圍決策後為準</x:v>
      </x:c>
      <x:c r="AA3" s="10" t="str">
        <x:v>目標上線日：2026-09-15｜CMS 實作內容以內部完成範圍決策後為準</x:v>
      </x:c>
      <x:c r="AB3" s="10" t="str">
        <x:v>目標上線日：2026-09-15｜CMS 實作內容以內部完成範圍決策後為準</x:v>
      </x:c>
      <x:c r="AC3" s="10" t="str">
        <x:v>目標上線日：2026-09-15｜CMS 實作內容以內部完成範圍決策後為準</x:v>
      </x:c>
      <x:c r="AD3" s="10" t="str">
        <x:v>目標上線日：2026-09-15｜CMS 實作內容以內部完成範圍決策後為準</x:v>
      </x:c>
      <x:c r="AE3" s="10" t="str">
        <x:v>目標上線日：2026-09-15｜CMS 實作內容以內部完成範圍決策後為準</x:v>
      </x:c>
      <x:c r="AF3" s="10" t="str">
        <x:v>目標上線日：2026-09-15｜CMS 實作內容以內部完成範圍決策後為準</x:v>
      </x:c>
      <x:c r="AG3" s="10" t="str">
        <x:v>目標上線日：2026-09-15｜CMS 實作內容以內部完成範圍決策後為準</x:v>
      </x:c>
      <x:c r="AH3" s="10" t="str">
        <x:v>目標上線日：2026-09-15｜CMS 實作內容以內部完成範圍決策後為準</x:v>
      </x:c>
      <x:c r="AI3" s="10" t="str">
        <x:v>目標上線日：2026-09-15｜CMS 實作內容以內部完成範圍決策後為準</x:v>
      </x:c>
      <x:c r="AJ3" s="10" t="str">
        <x:v>目標上線日：2026-09-15｜CMS 實作內容以內部完成範圍決策後為準</x:v>
      </x:c>
      <x:c r="AK3" s="10" t="str">
        <x:v>目標上線日：2026-09-15｜CMS 實作內容以內部完成範圍決策後為準</x:v>
      </x:c>
      <x:c r="AL3" s="10" t="str">
        <x:v>目標上線日：2026-09-15｜CMS 實作內容以內部完成範圍決策後為準</x:v>
      </x:c>
      <x:c r="AM3" s="10" t="str">
        <x:v>目標上線日：2026-09-15｜CMS 實作內容以內部完成範圍決策後為準</x:v>
      </x:c>
      <x:c r="AN3" s="10" t="str">
        <x:v>目標上線日：2026-09-15｜CMS 實作內容以內部完成範圍決策後為準</x:v>
      </x:c>
      <x:c r="AO3" s="10" t="str">
        <x:v>目標上線日：2026-09-15｜CMS 實作內容以內部完成範圍決策後為準</x:v>
      </x:c>
      <x:c r="AP3" s="10" t="str">
        <x:v>目標上線日：2026-09-15｜CMS 實作內容以內部完成範圍決策後為準</x:v>
      </x:c>
      <x:c r="AQ3" s="10" t="str">
        <x:v>目標上線日：2026-09-15｜CMS 實作內容以內部完成範圍決策後為準</x:v>
      </x:c>
      <x:c r="AR3" s="10" t="str">
        <x:v>目標上線日：2026-09-15｜CMS 實作內容以內部完成範圍決策後為準</x:v>
      </x:c>
    </x:row>
    <x:row r="4" ht="25.5" customHeight="1">
      <x:c r="A4" s="124" t="str">
        <x:v>階段</x:v>
      </x:c>
      <x:c r="B4" s="124" t="str">
        <x:v>工作項目</x:v>
      </x:c>
      <x:c r="C4" s="124" t="str">
        <x:v>負責</x:v>
      </x:c>
      <x:c r="D4" s="124" t="str">
        <x:v>狀態</x:v>
      </x:c>
      <x:c r="E4" s="124" t="str">
        <x:v>開始</x:v>
      </x:c>
      <x:c r="F4" s="124" t="str">
        <x:v>結束</x:v>
      </x:c>
      <x:c r="G4" s="124" t="str">
        <x:v>備註</x:v>
      </x:c>
      <x:c r="H4" s="142" t="n">
        <x:v>46244</x:v>
      </x:c>
      <x:c r="I4" s="142" t="n">
        <x:v>46245</x:v>
      </x:c>
      <x:c r="J4" s="142" t="n">
        <x:v>46246</x:v>
      </x:c>
      <x:c r="K4" s="142" t="n">
        <x:v>46247</x:v>
      </x:c>
      <x:c r="L4" s="142" t="n">
        <x:v>46248</x:v>
      </x:c>
      <x:c r="M4" s="172" t="n">
        <x:v>46249</x:v>
      </x:c>
      <x:c r="N4" s="172" t="n">
        <x:v>46250</x:v>
      </x:c>
      <x:c r="O4" s="142" t="n">
        <x:v>46251</x:v>
      </x:c>
      <x:c r="P4" s="142" t="n">
        <x:v>46252</x:v>
      </x:c>
      <x:c r="Q4" s="142" t="n">
        <x:v>46253</x:v>
      </x:c>
      <x:c r="R4" s="142" t="n">
        <x:v>46254</x:v>
      </x:c>
      <x:c r="S4" s="142" t="n">
        <x:v>46255</x:v>
      </x:c>
      <x:c r="T4" s="172" t="n">
        <x:v>46256</x:v>
      </x:c>
      <x:c r="U4" s="172" t="n">
        <x:v>46257</x:v>
      </x:c>
      <x:c r="V4" s="142" t="n">
        <x:v>46258</x:v>
      </x:c>
      <x:c r="W4" s="142" t="n">
        <x:v>46259</x:v>
      </x:c>
      <x:c r="X4" s="142" t="n">
        <x:v>46260</x:v>
      </x:c>
      <x:c r="Y4" s="142" t="n">
        <x:v>46261</x:v>
      </x:c>
      <x:c r="Z4" s="142" t="n">
        <x:v>46262</x:v>
      </x:c>
      <x:c r="AA4" s="172" t="n">
        <x:v>46263</x:v>
      </x:c>
      <x:c r="AB4" s="172" t="n">
        <x:v>46264</x:v>
      </x:c>
      <x:c r="AC4" s="142" t="n">
        <x:v>46265</x:v>
      </x:c>
      <x:c r="AD4" s="142" t="n">
        <x:v>46266</x:v>
      </x:c>
      <x:c r="AE4" s="142" t="n">
        <x:v>46267</x:v>
      </x:c>
      <x:c r="AF4" s="142" t="n">
        <x:v>46268</x:v>
      </x:c>
      <x:c r="AG4" s="142" t="n">
        <x:v>46269</x:v>
      </x:c>
      <x:c r="AH4" s="172" t="n">
        <x:v>46270</x:v>
      </x:c>
      <x:c r="AI4" s="172" t="n">
        <x:v>46271</x:v>
      </x:c>
      <x:c r="AJ4" s="142" t="n">
        <x:v>46272</x:v>
      </x:c>
      <x:c r="AK4" s="142" t="n">
        <x:v>46273</x:v>
      </x:c>
      <x:c r="AL4" s="142" t="n">
        <x:v>46274</x:v>
      </x:c>
      <x:c r="AM4" s="142" t="n">
        <x:v>46275</x:v>
      </x:c>
      <x:c r="AN4" s="142" t="n">
        <x:v>46276</x:v>
      </x:c>
      <x:c r="AO4" s="172" t="n">
        <x:v>46277</x:v>
      </x:c>
      <x:c r="AP4" s="172" t="n">
        <x:v>46278</x:v>
      </x:c>
      <x:c r="AQ4" s="142" t="n">
        <x:v>46279</x:v>
      </x:c>
      <x:c r="AR4" s="142" t="n">
        <x:v>46280</x:v>
      </x:c>
    </x:row>
    <x:row r="5" ht="19.5" customHeight="1">
      <x:c r="A5" s="151" t="str">
        <x:v>規劃</x:v>
      </x:c>
      <x:c r="B5" s="128" t="str">
        <x:v>V1 版型確認</x:v>
      </x:c>
      <x:c r="C5" s="130" t="str">
        <x:v>TIRI / Justhings</x:v>
      </x:c>
      <x:c r="D5" s="130" t="str">
        <x:v>已完成</x:v>
      </x:c>
      <x:c r="E5" s="145" t="n">
        <x:v>46244</x:v>
      </x:c>
      <x:c r="F5" s="145" t="n">
        <x:v>46244</x:v>
      </x:c>
      <x:c r="G5" s="128" t="str">
        <x:v>專業編輯版</x:v>
      </x:c>
      <x:c r="H5" s="149" t="str">
        <x:f>IF(AND(H$4&gt;=$E5,H$4&lt;=$F5),"■","")</x:f>
        <x:v>■</x:v>
      </x:c>
      <x:c r="I5" s="149" t="str">
        <x:f>IF(AND(I$4&gt;=$E5,I$4&lt;=$F5),"■","")</x:f>
      </x:c>
      <x:c r="J5" s="149" t="str">
        <x:f>IF(AND(J$4&gt;=$E5,J$4&lt;=$F5),"■","")</x:f>
      </x:c>
      <x:c r="K5" s="149" t="str">
        <x:f>IF(AND(K$4&gt;=$E5,K$4&lt;=$F5),"■","")</x:f>
      </x:c>
      <x:c r="L5" s="149" t="str">
        <x:f>IF(AND(L$4&gt;=$E5,L$4&lt;=$F5),"■","")</x:f>
      </x:c>
      <x:c r="M5" s="167" t="str">
        <x:f>IF(AND(M$4&gt;=$E5,M$4&lt;=$F5),"■","")</x:f>
      </x:c>
      <x:c r="N5" s="167" t="str">
        <x:f>IF(AND(N$4&gt;=$E5,N$4&lt;=$F5),"■","")</x:f>
      </x:c>
      <x:c r="O5" s="149" t="str">
        <x:f>IF(AND(O$4&gt;=$E5,O$4&lt;=$F5),"■","")</x:f>
      </x:c>
      <x:c r="P5" s="149" t="str">
        <x:f>IF(AND(P$4&gt;=$E5,P$4&lt;=$F5),"■","")</x:f>
      </x:c>
      <x:c r="Q5" s="149" t="str">
        <x:f>IF(AND(Q$4&gt;=$E5,Q$4&lt;=$F5),"■","")</x:f>
      </x:c>
      <x:c r="R5" s="149" t="str">
        <x:f>IF(AND(R$4&gt;=$E5,R$4&lt;=$F5),"■","")</x:f>
      </x:c>
      <x:c r="S5" s="149" t="str">
        <x:f>IF(AND(S$4&gt;=$E5,S$4&lt;=$F5),"■","")</x:f>
      </x:c>
      <x:c r="T5" s="167" t="str">
        <x:f>IF(AND(T$4&gt;=$E5,T$4&lt;=$F5),"■","")</x:f>
      </x:c>
      <x:c r="U5" s="167" t="str">
        <x:f>IF(AND(U$4&gt;=$E5,U$4&lt;=$F5),"■","")</x:f>
      </x:c>
      <x:c r="V5" s="149" t="str">
        <x:f>IF(AND(V$4&gt;=$E5,V$4&lt;=$F5),"■","")</x:f>
      </x:c>
      <x:c r="W5" s="149" t="str">
        <x:f>IF(AND(W$4&gt;=$E5,W$4&lt;=$F5),"■","")</x:f>
      </x:c>
      <x:c r="X5" s="149" t="str">
        <x:f>IF(AND(X$4&gt;=$E5,X$4&lt;=$F5),"■","")</x:f>
      </x:c>
      <x:c r="Y5" s="149" t="str">
        <x:f>IF(AND(Y$4&gt;=$E5,Y$4&lt;=$F5),"■","")</x:f>
      </x:c>
      <x:c r="Z5" s="149" t="str">
        <x:f>IF(AND(Z$4&gt;=$E5,Z$4&lt;=$F5),"■","")</x:f>
      </x:c>
      <x:c r="AA5" s="167" t="str">
        <x:f>IF(AND(AA$4&gt;=$E5,AA$4&lt;=$F5),"■","")</x:f>
      </x:c>
      <x:c r="AB5" s="167" t="str">
        <x:f>IF(AND(AB$4&gt;=$E5,AB$4&lt;=$F5),"■","")</x:f>
      </x:c>
      <x:c r="AC5" s="149" t="str">
        <x:f>IF(AND(AC$4&gt;=$E5,AC$4&lt;=$F5),"■","")</x:f>
      </x:c>
      <x:c r="AD5" s="149" t="str">
        <x:f>IF(AND(AD$4&gt;=$E5,AD$4&lt;=$F5),"■","")</x:f>
      </x:c>
      <x:c r="AE5" s="149" t="str">
        <x:f>IF(AND(AE$4&gt;=$E5,AE$4&lt;=$F5),"■","")</x:f>
      </x:c>
      <x:c r="AF5" s="149" t="str">
        <x:f>IF(AND(AF$4&gt;=$E5,AF$4&lt;=$F5),"■","")</x:f>
      </x:c>
      <x:c r="AG5" s="149" t="str">
        <x:f>IF(AND(AG$4&gt;=$E5,AG$4&lt;=$F5),"■","")</x:f>
      </x:c>
      <x:c r="AH5" s="167" t="str">
        <x:f>IF(AND(AH$4&gt;=$E5,AH$4&lt;=$F5),"■","")</x:f>
      </x:c>
      <x:c r="AI5" s="167" t="str">
        <x:f>IF(AND(AI$4&gt;=$E5,AI$4&lt;=$F5),"■","")</x:f>
      </x:c>
      <x:c r="AJ5" s="149" t="str">
        <x:f>IF(AND(AJ$4&gt;=$E5,AJ$4&lt;=$F5),"■","")</x:f>
      </x:c>
      <x:c r="AK5" s="149" t="str">
        <x:f>IF(AND(AK$4&gt;=$E5,AK$4&lt;=$F5),"■","")</x:f>
      </x:c>
      <x:c r="AL5" s="149" t="str">
        <x:f>IF(AND(AL$4&gt;=$E5,AL$4&lt;=$F5),"■","")</x:f>
      </x:c>
      <x:c r="AM5" s="149" t="str">
        <x:f>IF(AND(AM$4&gt;=$E5,AM$4&lt;=$F5),"■","")</x:f>
      </x:c>
      <x:c r="AN5" s="149" t="str">
        <x:f>IF(AND(AN$4&gt;=$E5,AN$4&lt;=$F5),"■","")</x:f>
      </x:c>
      <x:c r="AO5" s="167" t="str">
        <x:f>IF(AND(AO$4&gt;=$E5,AO$4&lt;=$F5),"■","")</x:f>
      </x:c>
      <x:c r="AP5" s="167" t="str">
        <x:f>IF(AND(AP$4&gt;=$E5,AP$4&lt;=$F5),"■","")</x:f>
      </x:c>
      <x:c r="AQ5" s="149" t="str">
        <x:f>IF(AND(AQ$4&gt;=$E5,AQ$4&lt;=$F5),"■","")</x:f>
      </x:c>
      <x:c r="AR5" s="149" t="str">
        <x:f>IF(AND(AR$4&gt;=$E5,AR$4&lt;=$F5),"■","")</x:f>
      </x:c>
    </x:row>
    <x:row r="6" ht="19.5" customHeight="1">
      <x:c r="A6" s="153" t="str">
        <x:v>規劃</x:v>
      </x:c>
      <x:c r="B6" s="129" t="str">
        <x:v>前台架構與頁面內容規劃</x:v>
      </x:c>
      <x:c r="C6" s="131" t="str">
        <x:v>Justhings</x:v>
      </x:c>
      <x:c r="D6" s="131" t="str">
        <x:v>進行中</x:v>
      </x:c>
      <x:c r="E6" s="146" t="n">
        <x:v>46244</x:v>
      </x:c>
      <x:c r="F6" s="146" t="n">
        <x:v>46248</x:v>
      </x:c>
      <x:c r="G6" s="129" t="str">
        <x:v>架構圖、頁面表、雙語對應</x:v>
      </x:c>
      <x:c r="H6" s="149" t="str">
        <x:f>IF(AND(H$4&gt;=$E6,H$4&lt;=$F6),"■","")</x:f>
        <x:v>■</x:v>
      </x:c>
      <x:c r="I6" s="149" t="str">
        <x:f>IF(AND(I$4&gt;=$E6,I$4&lt;=$F6),"■","")</x:f>
        <x:v>■</x:v>
      </x:c>
      <x:c r="J6" s="149" t="str">
        <x:f>IF(AND(J$4&gt;=$E6,J$4&lt;=$F6),"■","")</x:f>
        <x:v>■</x:v>
      </x:c>
      <x:c r="K6" s="149" t="str">
        <x:f>IF(AND(K$4&gt;=$E6,K$4&lt;=$F6),"■","")</x:f>
        <x:v>■</x:v>
      </x:c>
      <x:c r="L6" s="149" t="str">
        <x:f>IF(AND(L$4&gt;=$E6,L$4&lt;=$F6),"■","")</x:f>
        <x:v>■</x:v>
      </x:c>
      <x:c r="M6" s="167" t="str">
        <x:f>IF(AND(M$4&gt;=$E6,M$4&lt;=$F6),"■","")</x:f>
      </x:c>
      <x:c r="N6" s="167" t="str">
        <x:f>IF(AND(N$4&gt;=$E6,N$4&lt;=$F6),"■","")</x:f>
      </x:c>
      <x:c r="O6" s="149" t="str">
        <x:f>IF(AND(O$4&gt;=$E6,O$4&lt;=$F6),"■","")</x:f>
      </x:c>
      <x:c r="P6" s="149" t="str">
        <x:f>IF(AND(P$4&gt;=$E6,P$4&lt;=$F6),"■","")</x:f>
      </x:c>
      <x:c r="Q6" s="149" t="str">
        <x:f>IF(AND(Q$4&gt;=$E6,Q$4&lt;=$F6),"■","")</x:f>
      </x:c>
      <x:c r="R6" s="149" t="str">
        <x:f>IF(AND(R$4&gt;=$E6,R$4&lt;=$F6),"■","")</x:f>
      </x:c>
      <x:c r="S6" s="149" t="str">
        <x:f>IF(AND(S$4&gt;=$E6,S$4&lt;=$F6),"■","")</x:f>
      </x:c>
      <x:c r="T6" s="167" t="str">
        <x:f>IF(AND(T$4&gt;=$E6,T$4&lt;=$F6),"■","")</x:f>
      </x:c>
      <x:c r="U6" s="167" t="str">
        <x:f>IF(AND(U$4&gt;=$E6,U$4&lt;=$F6),"■","")</x:f>
      </x:c>
      <x:c r="V6" s="149" t="str">
        <x:f>IF(AND(V$4&gt;=$E6,V$4&lt;=$F6),"■","")</x:f>
      </x:c>
      <x:c r="W6" s="149" t="str">
        <x:f>IF(AND(W$4&gt;=$E6,W$4&lt;=$F6),"■","")</x:f>
      </x:c>
      <x:c r="X6" s="149" t="str">
        <x:f>IF(AND(X$4&gt;=$E6,X$4&lt;=$F6),"■","")</x:f>
      </x:c>
      <x:c r="Y6" s="149" t="str">
        <x:f>IF(AND(Y$4&gt;=$E6,Y$4&lt;=$F6),"■","")</x:f>
      </x:c>
      <x:c r="Z6" s="149" t="str">
        <x:f>IF(AND(Z$4&gt;=$E6,Z$4&lt;=$F6),"■","")</x:f>
      </x:c>
      <x:c r="AA6" s="167" t="str">
        <x:f>IF(AND(AA$4&gt;=$E6,AA$4&lt;=$F6),"■","")</x:f>
      </x:c>
      <x:c r="AB6" s="167" t="str">
        <x:f>IF(AND(AB$4&gt;=$E6,AB$4&lt;=$F6),"■","")</x:f>
      </x:c>
      <x:c r="AC6" s="149" t="str">
        <x:f>IF(AND(AC$4&gt;=$E6,AC$4&lt;=$F6),"■","")</x:f>
      </x:c>
      <x:c r="AD6" s="149" t="str">
        <x:f>IF(AND(AD$4&gt;=$E6,AD$4&lt;=$F6),"■","")</x:f>
      </x:c>
      <x:c r="AE6" s="149" t="str">
        <x:f>IF(AND(AE$4&gt;=$E6,AE$4&lt;=$F6),"■","")</x:f>
      </x:c>
      <x:c r="AF6" s="149" t="str">
        <x:f>IF(AND(AF$4&gt;=$E6,AF$4&lt;=$F6),"■","")</x:f>
      </x:c>
      <x:c r="AG6" s="149" t="str">
        <x:f>IF(AND(AG$4&gt;=$E6,AG$4&lt;=$F6),"■","")</x:f>
      </x:c>
      <x:c r="AH6" s="167" t="str">
        <x:f>IF(AND(AH$4&gt;=$E6,AH$4&lt;=$F6),"■","")</x:f>
      </x:c>
      <x:c r="AI6" s="167" t="str">
        <x:f>IF(AND(AI$4&gt;=$E6,AI$4&lt;=$F6),"■","")</x:f>
      </x:c>
      <x:c r="AJ6" s="149" t="str">
        <x:f>IF(AND(AJ$4&gt;=$E6,AJ$4&lt;=$F6),"■","")</x:f>
      </x:c>
      <x:c r="AK6" s="149" t="str">
        <x:f>IF(AND(AK$4&gt;=$E6,AK$4&lt;=$F6),"■","")</x:f>
      </x:c>
      <x:c r="AL6" s="149" t="str">
        <x:f>IF(AND(AL$4&gt;=$E6,AL$4&lt;=$F6),"■","")</x:f>
      </x:c>
      <x:c r="AM6" s="149" t="str">
        <x:f>IF(AND(AM$4&gt;=$E6,AM$4&lt;=$F6),"■","")</x:f>
      </x:c>
      <x:c r="AN6" s="149" t="str">
        <x:f>IF(AND(AN$4&gt;=$E6,AN$4&lt;=$F6),"■","")</x:f>
      </x:c>
      <x:c r="AO6" s="167" t="str">
        <x:f>IF(AND(AO$4&gt;=$E6,AO$4&lt;=$F6),"■","")</x:f>
      </x:c>
      <x:c r="AP6" s="167" t="str">
        <x:f>IF(AND(AP$4&gt;=$E6,AP$4&lt;=$F6),"■","")</x:f>
      </x:c>
      <x:c r="AQ6" s="149" t="str">
        <x:f>IF(AND(AQ$4&gt;=$E6,AQ$4&lt;=$F6),"■","")</x:f>
      </x:c>
      <x:c r="AR6" s="149" t="str">
        <x:f>IF(AND(AR$4&gt;=$E6,AR$4&lt;=$F6),"■","")</x:f>
      </x:c>
    </x:row>
    <x:row r="7" ht="19.5" customHeight="1">
      <x:c r="A7" s="153" t="str">
        <x:v>規劃</x:v>
      </x:c>
      <x:c r="B7" s="129" t="str">
        <x:v>中英文頁面與 URL 對應</x:v>
      </x:c>
      <x:c r="C7" s="131" t="str">
        <x:v>Justhings</x:v>
      </x:c>
      <x:c r="D7" s="131" t="str">
        <x:v>進行中</x:v>
      </x:c>
      <x:c r="E7" s="146" t="n">
        <x:v>46244</x:v>
      </x:c>
      <x:c r="F7" s="146" t="n">
        <x:v>46248</x:v>
      </x:c>
      <x:c r="G7" s="129" t="str">
        <x:v>相同架構與模板</x:v>
      </x:c>
      <x:c r="H7" s="149" t="str">
        <x:f>IF(AND(H$4&gt;=$E7,H$4&lt;=$F7),"■","")</x:f>
        <x:v>■</x:v>
      </x:c>
      <x:c r="I7" s="149" t="str">
        <x:f>IF(AND(I$4&gt;=$E7,I$4&lt;=$F7),"■","")</x:f>
        <x:v>■</x:v>
      </x:c>
      <x:c r="J7" s="149" t="str">
        <x:f>IF(AND(J$4&gt;=$E7,J$4&lt;=$F7),"■","")</x:f>
        <x:v>■</x:v>
      </x:c>
      <x:c r="K7" s="149" t="str">
        <x:f>IF(AND(K$4&gt;=$E7,K$4&lt;=$F7),"■","")</x:f>
        <x:v>■</x:v>
      </x:c>
      <x:c r="L7" s="149" t="str">
        <x:f>IF(AND(L$4&gt;=$E7,L$4&lt;=$F7),"■","")</x:f>
        <x:v>■</x:v>
      </x:c>
      <x:c r="M7" s="167" t="str">
        <x:f>IF(AND(M$4&gt;=$E7,M$4&lt;=$F7),"■","")</x:f>
      </x:c>
      <x:c r="N7" s="167" t="str">
        <x:f>IF(AND(N$4&gt;=$E7,N$4&lt;=$F7),"■","")</x:f>
      </x:c>
      <x:c r="O7" s="149" t="str">
        <x:f>IF(AND(O$4&gt;=$E7,O$4&lt;=$F7),"■","")</x:f>
      </x:c>
      <x:c r="P7" s="149" t="str">
        <x:f>IF(AND(P$4&gt;=$E7,P$4&lt;=$F7),"■","")</x:f>
      </x:c>
      <x:c r="Q7" s="149" t="str">
        <x:f>IF(AND(Q$4&gt;=$E7,Q$4&lt;=$F7),"■","")</x:f>
      </x:c>
      <x:c r="R7" s="149" t="str">
        <x:f>IF(AND(R$4&gt;=$E7,R$4&lt;=$F7),"■","")</x:f>
      </x:c>
      <x:c r="S7" s="149" t="str">
        <x:f>IF(AND(S$4&gt;=$E7,S$4&lt;=$F7),"■","")</x:f>
      </x:c>
      <x:c r="T7" s="167" t="str">
        <x:f>IF(AND(T$4&gt;=$E7,T$4&lt;=$F7),"■","")</x:f>
      </x:c>
      <x:c r="U7" s="167" t="str">
        <x:f>IF(AND(U$4&gt;=$E7,U$4&lt;=$F7),"■","")</x:f>
      </x:c>
      <x:c r="V7" s="149" t="str">
        <x:f>IF(AND(V$4&gt;=$E7,V$4&lt;=$F7),"■","")</x:f>
      </x:c>
      <x:c r="W7" s="149" t="str">
        <x:f>IF(AND(W$4&gt;=$E7,W$4&lt;=$F7),"■","")</x:f>
      </x:c>
      <x:c r="X7" s="149" t="str">
        <x:f>IF(AND(X$4&gt;=$E7,X$4&lt;=$F7),"■","")</x:f>
      </x:c>
      <x:c r="Y7" s="149" t="str">
        <x:f>IF(AND(Y$4&gt;=$E7,Y$4&lt;=$F7),"■","")</x:f>
      </x:c>
      <x:c r="Z7" s="149" t="str">
        <x:f>IF(AND(Z$4&gt;=$E7,Z$4&lt;=$F7),"■","")</x:f>
      </x:c>
      <x:c r="AA7" s="167" t="str">
        <x:f>IF(AND(AA$4&gt;=$E7,AA$4&lt;=$F7),"■","")</x:f>
      </x:c>
      <x:c r="AB7" s="167" t="str">
        <x:f>IF(AND(AB$4&gt;=$E7,AB$4&lt;=$F7),"■","")</x:f>
      </x:c>
      <x:c r="AC7" s="149" t="str">
        <x:f>IF(AND(AC$4&gt;=$E7,AC$4&lt;=$F7),"■","")</x:f>
      </x:c>
      <x:c r="AD7" s="149" t="str">
        <x:f>IF(AND(AD$4&gt;=$E7,AD$4&lt;=$F7),"■","")</x:f>
      </x:c>
      <x:c r="AE7" s="149" t="str">
        <x:f>IF(AND(AE$4&gt;=$E7,AE$4&lt;=$F7),"■","")</x:f>
      </x:c>
      <x:c r="AF7" s="149" t="str">
        <x:f>IF(AND(AF$4&gt;=$E7,AF$4&lt;=$F7),"■","")</x:f>
      </x:c>
      <x:c r="AG7" s="149" t="str">
        <x:f>IF(AND(AG$4&gt;=$E7,AG$4&lt;=$F7),"■","")</x:f>
      </x:c>
      <x:c r="AH7" s="167" t="str">
        <x:f>IF(AND(AH$4&gt;=$E7,AH$4&lt;=$F7),"■","")</x:f>
      </x:c>
      <x:c r="AI7" s="167" t="str">
        <x:f>IF(AND(AI$4&gt;=$E7,AI$4&lt;=$F7),"■","")</x:f>
      </x:c>
      <x:c r="AJ7" s="149" t="str">
        <x:f>IF(AND(AJ$4&gt;=$E7,AJ$4&lt;=$F7),"■","")</x:f>
      </x:c>
      <x:c r="AK7" s="149" t="str">
        <x:f>IF(AND(AK$4&gt;=$E7,AK$4&lt;=$F7),"■","")</x:f>
      </x:c>
      <x:c r="AL7" s="149" t="str">
        <x:f>IF(AND(AL$4&gt;=$E7,AL$4&lt;=$F7),"■","")</x:f>
      </x:c>
      <x:c r="AM7" s="149" t="str">
        <x:f>IF(AND(AM$4&gt;=$E7,AM$4&lt;=$F7),"■","")</x:f>
      </x:c>
      <x:c r="AN7" s="149" t="str">
        <x:f>IF(AND(AN$4&gt;=$E7,AN$4&lt;=$F7),"■","")</x:f>
      </x:c>
      <x:c r="AO7" s="167" t="str">
        <x:f>IF(AND(AO$4&gt;=$E7,AO$4&lt;=$F7),"■","")</x:f>
      </x:c>
      <x:c r="AP7" s="167" t="str">
        <x:f>IF(AND(AP$4&gt;=$E7,AP$4&lt;=$F7),"■","")</x:f>
      </x:c>
      <x:c r="AQ7" s="149" t="str">
        <x:f>IF(AND(AQ$4&gt;=$E7,AQ$4&lt;=$F7),"■","")</x:f>
      </x:c>
      <x:c r="AR7" s="149" t="str">
        <x:f>IF(AND(AR$4&gt;=$E7,AR$4&lt;=$F7),"■","")</x:f>
      </x:c>
    </x:row>
    <x:row r="8" ht="19.5" customHeight="1">
      <x:c r="A8" s="153" t="str">
        <x:v>規劃</x:v>
      </x:c>
      <x:c r="B8" s="129" t="str">
        <x:v>主選單與次層架構確認</x:v>
      </x:c>
      <x:c r="C8" s="131" t="str">
        <x:v>TIRI</x:v>
      </x:c>
      <x:c r="D8" s="131" t="str">
        <x:v>待確認</x:v>
      </x:c>
      <x:c r="E8" s="146" t="n">
        <x:v>46248</x:v>
      </x:c>
      <x:c r="F8" s="146" t="n">
        <x:v>46252</x:v>
      </x:c>
      <x:c r="G8" s="129" t="str">
        <x:v>含課程／服務分類</x:v>
      </x:c>
      <x:c r="H8" s="149" t="str">
        <x:f>IF(AND(H$4&gt;=$E8,H$4&lt;=$F8),"■","")</x:f>
      </x:c>
      <x:c r="I8" s="149" t="str">
        <x:f>IF(AND(I$4&gt;=$E8,I$4&lt;=$F8),"■","")</x:f>
      </x:c>
      <x:c r="J8" s="149" t="str">
        <x:f>IF(AND(J$4&gt;=$E8,J$4&lt;=$F8),"■","")</x:f>
      </x:c>
      <x:c r="K8" s="149" t="str">
        <x:f>IF(AND(K$4&gt;=$E8,K$4&lt;=$F8),"■","")</x:f>
      </x:c>
      <x:c r="L8" s="149" t="str">
        <x:f>IF(AND(L$4&gt;=$E8,L$4&lt;=$F8),"■","")</x:f>
        <x:v>■</x:v>
      </x:c>
      <x:c r="M8" s="167" t="str">
        <x:f>IF(AND(M$4&gt;=$E8,M$4&lt;=$F8),"■","")</x:f>
        <x:v>■</x:v>
      </x:c>
      <x:c r="N8" s="167" t="str">
        <x:f>IF(AND(N$4&gt;=$E8,N$4&lt;=$F8),"■","")</x:f>
        <x:v>■</x:v>
      </x:c>
      <x:c r="O8" s="149" t="str">
        <x:f>IF(AND(O$4&gt;=$E8,O$4&lt;=$F8),"■","")</x:f>
        <x:v>■</x:v>
      </x:c>
      <x:c r="P8" s="149" t="str">
        <x:f>IF(AND(P$4&gt;=$E8,P$4&lt;=$F8),"■","")</x:f>
        <x:v>■</x:v>
      </x:c>
      <x:c r="Q8" s="149" t="str">
        <x:f>IF(AND(Q$4&gt;=$E8,Q$4&lt;=$F8),"■","")</x:f>
      </x:c>
      <x:c r="R8" s="149" t="str">
        <x:f>IF(AND(R$4&gt;=$E8,R$4&lt;=$F8),"■","")</x:f>
      </x:c>
      <x:c r="S8" s="149" t="str">
        <x:f>IF(AND(S$4&gt;=$E8,S$4&lt;=$F8),"■","")</x:f>
      </x:c>
      <x:c r="T8" s="167" t="str">
        <x:f>IF(AND(T$4&gt;=$E8,T$4&lt;=$F8),"■","")</x:f>
      </x:c>
      <x:c r="U8" s="167" t="str">
        <x:f>IF(AND(U$4&gt;=$E8,U$4&lt;=$F8),"■","")</x:f>
      </x:c>
      <x:c r="V8" s="149" t="str">
        <x:f>IF(AND(V$4&gt;=$E8,V$4&lt;=$F8),"■","")</x:f>
      </x:c>
      <x:c r="W8" s="149" t="str">
        <x:f>IF(AND(W$4&gt;=$E8,W$4&lt;=$F8),"■","")</x:f>
      </x:c>
      <x:c r="X8" s="149" t="str">
        <x:f>IF(AND(X$4&gt;=$E8,X$4&lt;=$F8),"■","")</x:f>
      </x:c>
      <x:c r="Y8" s="149" t="str">
        <x:f>IF(AND(Y$4&gt;=$E8,Y$4&lt;=$F8),"■","")</x:f>
      </x:c>
      <x:c r="Z8" s="149" t="str">
        <x:f>IF(AND(Z$4&gt;=$E8,Z$4&lt;=$F8),"■","")</x:f>
      </x:c>
      <x:c r="AA8" s="167" t="str">
        <x:f>IF(AND(AA$4&gt;=$E8,AA$4&lt;=$F8),"■","")</x:f>
      </x:c>
      <x:c r="AB8" s="167" t="str">
        <x:f>IF(AND(AB$4&gt;=$E8,AB$4&lt;=$F8),"■","")</x:f>
      </x:c>
      <x:c r="AC8" s="149" t="str">
        <x:f>IF(AND(AC$4&gt;=$E8,AC$4&lt;=$F8),"■","")</x:f>
      </x:c>
      <x:c r="AD8" s="149" t="str">
        <x:f>IF(AND(AD$4&gt;=$E8,AD$4&lt;=$F8),"■","")</x:f>
      </x:c>
      <x:c r="AE8" s="149" t="str">
        <x:f>IF(AND(AE$4&gt;=$E8,AE$4&lt;=$F8),"■","")</x:f>
      </x:c>
      <x:c r="AF8" s="149" t="str">
        <x:f>IF(AND(AF$4&gt;=$E8,AF$4&lt;=$F8),"■","")</x:f>
      </x:c>
      <x:c r="AG8" s="149" t="str">
        <x:f>IF(AND(AG$4&gt;=$E8,AG$4&lt;=$F8),"■","")</x:f>
      </x:c>
      <x:c r="AH8" s="167" t="str">
        <x:f>IF(AND(AH$4&gt;=$E8,AH$4&lt;=$F8),"■","")</x:f>
      </x:c>
      <x:c r="AI8" s="167" t="str">
        <x:f>IF(AND(AI$4&gt;=$E8,AI$4&lt;=$F8),"■","")</x:f>
      </x:c>
      <x:c r="AJ8" s="149" t="str">
        <x:f>IF(AND(AJ$4&gt;=$E8,AJ$4&lt;=$F8),"■","")</x:f>
      </x:c>
      <x:c r="AK8" s="149" t="str">
        <x:f>IF(AND(AK$4&gt;=$E8,AK$4&lt;=$F8),"■","")</x:f>
      </x:c>
      <x:c r="AL8" s="149" t="str">
        <x:f>IF(AND(AL$4&gt;=$E8,AL$4&lt;=$F8),"■","")</x:f>
      </x:c>
      <x:c r="AM8" s="149" t="str">
        <x:f>IF(AND(AM$4&gt;=$E8,AM$4&lt;=$F8),"■","")</x:f>
      </x:c>
      <x:c r="AN8" s="149" t="str">
        <x:f>IF(AND(AN$4&gt;=$E8,AN$4&lt;=$F8),"■","")</x:f>
      </x:c>
      <x:c r="AO8" s="167" t="str">
        <x:f>IF(AND(AO$4&gt;=$E8,AO$4&lt;=$F8),"■","")</x:f>
      </x:c>
      <x:c r="AP8" s="167" t="str">
        <x:f>IF(AND(AP$4&gt;=$E8,AP$4&lt;=$F8),"■","")</x:f>
      </x:c>
      <x:c r="AQ8" s="149" t="str">
        <x:f>IF(AND(AQ$4&gt;=$E8,AQ$4&lt;=$F8),"■","")</x:f>
      </x:c>
      <x:c r="AR8" s="149" t="str">
        <x:f>IF(AND(AR$4&gt;=$E8,AR$4&lt;=$F8),"■","")</x:f>
      </x:c>
    </x:row>
    <x:row r="9" ht="19.5" customHeight="1">
      <x:c r="A9" s="153" t="str">
        <x:v>規劃</x:v>
      </x:c>
      <x:c r="B9" s="129" t="str">
        <x:v>CMS 新增層級與頁面範圍決策</x:v>
      </x:c>
      <x:c r="C9" s="131" t="str">
        <x:v>Justhings 內部</x:v>
      </x:c>
      <x:c r="D9" s="131" t="str">
        <x:v>待確認</x:v>
      </x:c>
      <x:c r="E9" s="146" t="n">
        <x:v>46244</x:v>
      </x:c>
      <x:c r="F9" s="146" t="n">
        <x:v>46248</x:v>
      </x:c>
      <x:c r="G9" s="129" t="str">
        <x:v>開發前必須完成</x:v>
      </x:c>
      <x:c r="H9" s="149" t="str">
        <x:f>IF(AND(H$4&gt;=$E9,H$4&lt;=$F9),"■","")</x:f>
        <x:v>■</x:v>
      </x:c>
      <x:c r="I9" s="149" t="str">
        <x:f>IF(AND(I$4&gt;=$E9,I$4&lt;=$F9),"■","")</x:f>
        <x:v>■</x:v>
      </x:c>
      <x:c r="J9" s="149" t="str">
        <x:f>IF(AND(J$4&gt;=$E9,J$4&lt;=$F9),"■","")</x:f>
        <x:v>■</x:v>
      </x:c>
      <x:c r="K9" s="149" t="str">
        <x:f>IF(AND(K$4&gt;=$E9,K$4&lt;=$F9),"■","")</x:f>
        <x:v>■</x:v>
      </x:c>
      <x:c r="L9" s="149" t="str">
        <x:f>IF(AND(L$4&gt;=$E9,L$4&lt;=$F9),"■","")</x:f>
        <x:v>■</x:v>
      </x:c>
      <x:c r="M9" s="167" t="str">
        <x:f>IF(AND(M$4&gt;=$E9,M$4&lt;=$F9),"■","")</x:f>
      </x:c>
      <x:c r="N9" s="167" t="str">
        <x:f>IF(AND(N$4&gt;=$E9,N$4&lt;=$F9),"■","")</x:f>
      </x:c>
      <x:c r="O9" s="149" t="str">
        <x:f>IF(AND(O$4&gt;=$E9,O$4&lt;=$F9),"■","")</x:f>
      </x:c>
      <x:c r="P9" s="149" t="str">
        <x:f>IF(AND(P$4&gt;=$E9,P$4&lt;=$F9),"■","")</x:f>
      </x:c>
      <x:c r="Q9" s="149" t="str">
        <x:f>IF(AND(Q$4&gt;=$E9,Q$4&lt;=$F9),"■","")</x:f>
      </x:c>
      <x:c r="R9" s="149" t="str">
        <x:f>IF(AND(R$4&gt;=$E9,R$4&lt;=$F9),"■","")</x:f>
      </x:c>
      <x:c r="S9" s="149" t="str">
        <x:f>IF(AND(S$4&gt;=$E9,S$4&lt;=$F9),"■","")</x:f>
      </x:c>
      <x:c r="T9" s="167" t="str">
        <x:f>IF(AND(T$4&gt;=$E9,T$4&lt;=$F9),"■","")</x:f>
      </x:c>
      <x:c r="U9" s="167" t="str">
        <x:f>IF(AND(U$4&gt;=$E9,U$4&lt;=$F9),"■","")</x:f>
      </x:c>
      <x:c r="V9" s="149" t="str">
        <x:f>IF(AND(V$4&gt;=$E9,V$4&lt;=$F9),"■","")</x:f>
      </x:c>
      <x:c r="W9" s="149" t="str">
        <x:f>IF(AND(W$4&gt;=$E9,W$4&lt;=$F9),"■","")</x:f>
      </x:c>
      <x:c r="X9" s="149" t="str">
        <x:f>IF(AND(X$4&gt;=$E9,X$4&lt;=$F9),"■","")</x:f>
      </x:c>
      <x:c r="Y9" s="149" t="str">
        <x:f>IF(AND(Y$4&gt;=$E9,Y$4&lt;=$F9),"■","")</x:f>
      </x:c>
      <x:c r="Z9" s="149" t="str">
        <x:f>IF(AND(Z$4&gt;=$E9,Z$4&lt;=$F9),"■","")</x:f>
      </x:c>
      <x:c r="AA9" s="167" t="str">
        <x:f>IF(AND(AA$4&gt;=$E9,AA$4&lt;=$F9),"■","")</x:f>
      </x:c>
      <x:c r="AB9" s="167" t="str">
        <x:f>IF(AND(AB$4&gt;=$E9,AB$4&lt;=$F9),"■","")</x:f>
      </x:c>
      <x:c r="AC9" s="149" t="str">
        <x:f>IF(AND(AC$4&gt;=$E9,AC$4&lt;=$F9),"■","")</x:f>
      </x:c>
      <x:c r="AD9" s="149" t="str">
        <x:f>IF(AND(AD$4&gt;=$E9,AD$4&lt;=$F9),"■","")</x:f>
      </x:c>
      <x:c r="AE9" s="149" t="str">
        <x:f>IF(AND(AE$4&gt;=$E9,AE$4&lt;=$F9),"■","")</x:f>
      </x:c>
      <x:c r="AF9" s="149" t="str">
        <x:f>IF(AND(AF$4&gt;=$E9,AF$4&lt;=$F9),"■","")</x:f>
      </x:c>
      <x:c r="AG9" s="149" t="str">
        <x:f>IF(AND(AG$4&gt;=$E9,AG$4&lt;=$F9),"■","")</x:f>
      </x:c>
      <x:c r="AH9" s="167" t="str">
        <x:f>IF(AND(AH$4&gt;=$E9,AH$4&lt;=$F9),"■","")</x:f>
      </x:c>
      <x:c r="AI9" s="167" t="str">
        <x:f>IF(AND(AI$4&gt;=$E9,AI$4&lt;=$F9),"■","")</x:f>
      </x:c>
      <x:c r="AJ9" s="149" t="str">
        <x:f>IF(AND(AJ$4&gt;=$E9,AJ$4&lt;=$F9),"■","")</x:f>
      </x:c>
      <x:c r="AK9" s="149" t="str">
        <x:f>IF(AND(AK$4&gt;=$E9,AK$4&lt;=$F9),"■","")</x:f>
      </x:c>
      <x:c r="AL9" s="149" t="str">
        <x:f>IF(AND(AL$4&gt;=$E9,AL$4&lt;=$F9),"■","")</x:f>
      </x:c>
      <x:c r="AM9" s="149" t="str">
        <x:f>IF(AND(AM$4&gt;=$E9,AM$4&lt;=$F9),"■","")</x:f>
      </x:c>
      <x:c r="AN9" s="149" t="str">
        <x:f>IF(AND(AN$4&gt;=$E9,AN$4&lt;=$F9),"■","")</x:f>
      </x:c>
      <x:c r="AO9" s="167" t="str">
        <x:f>IF(AND(AO$4&gt;=$E9,AO$4&lt;=$F9),"■","")</x:f>
      </x:c>
      <x:c r="AP9" s="167" t="str">
        <x:f>IF(AND(AP$4&gt;=$E9,AP$4&lt;=$F9),"■","")</x:f>
      </x:c>
      <x:c r="AQ9" s="149" t="str">
        <x:f>IF(AND(AQ$4&gt;=$E9,AQ$4&lt;=$F9),"■","")</x:f>
      </x:c>
      <x:c r="AR9" s="149" t="str">
        <x:f>IF(AND(AR$4&gt;=$E9,AR$4&lt;=$F9),"■","")</x:f>
      </x:c>
    </x:row>
    <x:row r="10" ht="19.5" customHeight="1">
      <x:c r="A10" s="156" t="str">
        <x:v>開發</x:v>
      </x:c>
      <x:c r="B10" s="129" t="str">
        <x:v>V1 前台頁面整理與調整</x:v>
      </x:c>
      <x:c r="C10" s="131" t="str">
        <x:v>Justhings</x:v>
      </x:c>
      <x:c r="D10" s="131" t="str">
        <x:v>未開始</x:v>
      </x:c>
      <x:c r="E10" s="146" t="n">
        <x:v>46251</x:v>
      </x:c>
      <x:c r="F10" s="146" t="n">
        <x:v>46262</x:v>
      </x:c>
      <x:c r="G10" s="129" t="str">
        <x:v>依確認架構進行</x:v>
      </x:c>
      <x:c r="H10" s="154" t="str">
        <x:f>IF(AND(H$4&gt;=$E10,H$4&lt;=$F10),"■","")</x:f>
      </x:c>
      <x:c r="I10" s="154" t="str">
        <x:f>IF(AND(I$4&gt;=$E10,I$4&lt;=$F10),"■","")</x:f>
      </x:c>
      <x:c r="J10" s="154" t="str">
        <x:f>IF(AND(J$4&gt;=$E10,J$4&lt;=$F10),"■","")</x:f>
      </x:c>
      <x:c r="K10" s="154" t="str">
        <x:f>IF(AND(K$4&gt;=$E10,K$4&lt;=$F10),"■","")</x:f>
      </x:c>
      <x:c r="L10" s="154" t="str">
        <x:f>IF(AND(L$4&gt;=$E10,L$4&lt;=$F10),"■","")</x:f>
      </x:c>
      <x:c r="M10" s="168" t="str">
        <x:f>IF(AND(M$4&gt;=$E10,M$4&lt;=$F10),"■","")</x:f>
      </x:c>
      <x:c r="N10" s="168" t="str">
        <x:f>IF(AND(N$4&gt;=$E10,N$4&lt;=$F10),"■","")</x:f>
      </x:c>
      <x:c r="O10" s="154" t="str">
        <x:f>IF(AND(O$4&gt;=$E10,O$4&lt;=$F10),"■","")</x:f>
        <x:v>■</x:v>
      </x:c>
      <x:c r="P10" s="154" t="str">
        <x:f>IF(AND(P$4&gt;=$E10,P$4&lt;=$F10),"■","")</x:f>
        <x:v>■</x:v>
      </x:c>
      <x:c r="Q10" s="154" t="str">
        <x:f>IF(AND(Q$4&gt;=$E10,Q$4&lt;=$F10),"■","")</x:f>
        <x:v>■</x:v>
      </x:c>
      <x:c r="R10" s="154" t="str">
        <x:f>IF(AND(R$4&gt;=$E10,R$4&lt;=$F10),"■","")</x:f>
        <x:v>■</x:v>
      </x:c>
      <x:c r="S10" s="154" t="str">
        <x:f>IF(AND(S$4&gt;=$E10,S$4&lt;=$F10),"■","")</x:f>
        <x:v>■</x:v>
      </x:c>
      <x:c r="T10" s="168" t="str">
        <x:f>IF(AND(T$4&gt;=$E10,T$4&lt;=$F10),"■","")</x:f>
        <x:v>■</x:v>
      </x:c>
      <x:c r="U10" s="168" t="str">
        <x:f>IF(AND(U$4&gt;=$E10,U$4&lt;=$F10),"■","")</x:f>
        <x:v>■</x:v>
      </x:c>
      <x:c r="V10" s="154" t="str">
        <x:f>IF(AND(V$4&gt;=$E10,V$4&lt;=$F10),"■","")</x:f>
        <x:v>■</x:v>
      </x:c>
      <x:c r="W10" s="154" t="str">
        <x:f>IF(AND(W$4&gt;=$E10,W$4&lt;=$F10),"■","")</x:f>
        <x:v>■</x:v>
      </x:c>
      <x:c r="X10" s="154" t="str">
        <x:f>IF(AND(X$4&gt;=$E10,X$4&lt;=$F10),"■","")</x:f>
        <x:v>■</x:v>
      </x:c>
      <x:c r="Y10" s="154" t="str">
        <x:f>IF(AND(Y$4&gt;=$E10,Y$4&lt;=$F10),"■","")</x:f>
        <x:v>■</x:v>
      </x:c>
      <x:c r="Z10" s="154" t="str">
        <x:f>IF(AND(Z$4&gt;=$E10,Z$4&lt;=$F10),"■","")</x:f>
        <x:v>■</x:v>
      </x:c>
      <x:c r="AA10" s="168" t="str">
        <x:f>IF(AND(AA$4&gt;=$E10,AA$4&lt;=$F10),"■","")</x:f>
      </x:c>
      <x:c r="AB10" s="168" t="str">
        <x:f>IF(AND(AB$4&gt;=$E10,AB$4&lt;=$F10),"■","")</x:f>
      </x:c>
      <x:c r="AC10" s="154" t="str">
        <x:f>IF(AND(AC$4&gt;=$E10,AC$4&lt;=$F10),"■","")</x:f>
      </x:c>
      <x:c r="AD10" s="154" t="str">
        <x:f>IF(AND(AD$4&gt;=$E10,AD$4&lt;=$F10),"■","")</x:f>
      </x:c>
      <x:c r="AE10" s="154" t="str">
        <x:f>IF(AND(AE$4&gt;=$E10,AE$4&lt;=$F10),"■","")</x:f>
      </x:c>
      <x:c r="AF10" s="154" t="str">
        <x:f>IF(AND(AF$4&gt;=$E10,AF$4&lt;=$F10),"■","")</x:f>
      </x:c>
      <x:c r="AG10" s="154" t="str">
        <x:f>IF(AND(AG$4&gt;=$E10,AG$4&lt;=$F10),"■","")</x:f>
      </x:c>
      <x:c r="AH10" s="168" t="str">
        <x:f>IF(AND(AH$4&gt;=$E10,AH$4&lt;=$F10),"■","")</x:f>
      </x:c>
      <x:c r="AI10" s="168" t="str">
        <x:f>IF(AND(AI$4&gt;=$E10,AI$4&lt;=$F10),"■","")</x:f>
      </x:c>
      <x:c r="AJ10" s="154" t="str">
        <x:f>IF(AND(AJ$4&gt;=$E10,AJ$4&lt;=$F10),"■","")</x:f>
      </x:c>
      <x:c r="AK10" s="154" t="str">
        <x:f>IF(AND(AK$4&gt;=$E10,AK$4&lt;=$F10),"■","")</x:f>
      </x:c>
      <x:c r="AL10" s="154" t="str">
        <x:f>IF(AND(AL$4&gt;=$E10,AL$4&lt;=$F10),"■","")</x:f>
      </x:c>
      <x:c r="AM10" s="154" t="str">
        <x:f>IF(AND(AM$4&gt;=$E10,AM$4&lt;=$F10),"■","")</x:f>
      </x:c>
      <x:c r="AN10" s="154" t="str">
        <x:f>IF(AND(AN$4&gt;=$E10,AN$4&lt;=$F10),"■","")</x:f>
      </x:c>
      <x:c r="AO10" s="168" t="str">
        <x:f>IF(AND(AO$4&gt;=$E10,AO$4&lt;=$F10),"■","")</x:f>
      </x:c>
      <x:c r="AP10" s="168" t="str">
        <x:f>IF(AND(AP$4&gt;=$E10,AP$4&lt;=$F10),"■","")</x:f>
      </x:c>
      <x:c r="AQ10" s="154" t="str">
        <x:f>IF(AND(AQ$4&gt;=$E10,AQ$4&lt;=$F10),"■","")</x:f>
      </x:c>
      <x:c r="AR10" s="154" t="str">
        <x:f>IF(AND(AR$4&gt;=$E10,AR$4&lt;=$F10),"■","")</x:f>
      </x:c>
    </x:row>
    <x:row r="11" ht="19.5" customHeight="1">
      <x:c r="A11" s="156" t="str">
        <x:v>開發</x:v>
      </x:c>
      <x:c r="B11" s="129" t="str">
        <x:v>頁首語言切換與每頁對應</x:v>
      </x:c>
      <x:c r="C11" s="131" t="str">
        <x:v>Justhings</x:v>
      </x:c>
      <x:c r="D11" s="131" t="str">
        <x:v>未開始</x:v>
      </x:c>
      <x:c r="E11" s="146" t="n">
        <x:v>46251</x:v>
      </x:c>
      <x:c r="F11" s="146" t="n">
        <x:v>46262</x:v>
      </x:c>
      <x:c r="G11" s="129" t="str">
        <x:v>入口已移至頁首，需補頁面對應</x:v>
      </x:c>
      <x:c r="H11" s="154" t="str">
        <x:f>IF(AND(H$4&gt;=$E11,H$4&lt;=$F11),"■","")</x:f>
      </x:c>
      <x:c r="I11" s="154" t="str">
        <x:f>IF(AND(I$4&gt;=$E11,I$4&lt;=$F11),"■","")</x:f>
      </x:c>
      <x:c r="J11" s="154" t="str">
        <x:f>IF(AND(J$4&gt;=$E11,J$4&lt;=$F11),"■","")</x:f>
      </x:c>
      <x:c r="K11" s="154" t="str">
        <x:f>IF(AND(K$4&gt;=$E11,K$4&lt;=$F11),"■","")</x:f>
      </x:c>
      <x:c r="L11" s="154" t="str">
        <x:f>IF(AND(L$4&gt;=$E11,L$4&lt;=$F11),"■","")</x:f>
      </x:c>
      <x:c r="M11" s="168" t="str">
        <x:f>IF(AND(M$4&gt;=$E11,M$4&lt;=$F11),"■","")</x:f>
      </x:c>
      <x:c r="N11" s="168" t="str">
        <x:f>IF(AND(N$4&gt;=$E11,N$4&lt;=$F11),"■","")</x:f>
      </x:c>
      <x:c r="O11" s="154" t="str">
        <x:f>IF(AND(O$4&gt;=$E11,O$4&lt;=$F11),"■","")</x:f>
        <x:v>■</x:v>
      </x:c>
      <x:c r="P11" s="154" t="str">
        <x:f>IF(AND(P$4&gt;=$E11,P$4&lt;=$F11),"■","")</x:f>
        <x:v>■</x:v>
      </x:c>
      <x:c r="Q11" s="154" t="str">
        <x:f>IF(AND(Q$4&gt;=$E11,Q$4&lt;=$F11),"■","")</x:f>
        <x:v>■</x:v>
      </x:c>
      <x:c r="R11" s="154" t="str">
        <x:f>IF(AND(R$4&gt;=$E11,R$4&lt;=$F11),"■","")</x:f>
        <x:v>■</x:v>
      </x:c>
      <x:c r="S11" s="154" t="str">
        <x:f>IF(AND(S$4&gt;=$E11,S$4&lt;=$F11),"■","")</x:f>
        <x:v>■</x:v>
      </x:c>
      <x:c r="T11" s="168" t="str">
        <x:f>IF(AND(T$4&gt;=$E11,T$4&lt;=$F11),"■","")</x:f>
        <x:v>■</x:v>
      </x:c>
      <x:c r="U11" s="168" t="str">
        <x:f>IF(AND(U$4&gt;=$E11,U$4&lt;=$F11),"■","")</x:f>
        <x:v>■</x:v>
      </x:c>
      <x:c r="V11" s="154" t="str">
        <x:f>IF(AND(V$4&gt;=$E11,V$4&lt;=$F11),"■","")</x:f>
        <x:v>■</x:v>
      </x:c>
      <x:c r="W11" s="154" t="str">
        <x:f>IF(AND(W$4&gt;=$E11,W$4&lt;=$F11),"■","")</x:f>
        <x:v>■</x:v>
      </x:c>
      <x:c r="X11" s="154" t="str">
        <x:f>IF(AND(X$4&gt;=$E11,X$4&lt;=$F11),"■","")</x:f>
        <x:v>■</x:v>
      </x:c>
      <x:c r="Y11" s="154" t="str">
        <x:f>IF(AND(Y$4&gt;=$E11,Y$4&lt;=$F11),"■","")</x:f>
        <x:v>■</x:v>
      </x:c>
      <x:c r="Z11" s="154" t="str">
        <x:f>IF(AND(Z$4&gt;=$E11,Z$4&lt;=$F11),"■","")</x:f>
        <x:v>■</x:v>
      </x:c>
      <x:c r="AA11" s="168" t="str">
        <x:f>IF(AND(AA$4&gt;=$E11,AA$4&lt;=$F11),"■","")</x:f>
      </x:c>
      <x:c r="AB11" s="168" t="str">
        <x:f>IF(AND(AB$4&gt;=$E11,AB$4&lt;=$F11),"■","")</x:f>
      </x:c>
      <x:c r="AC11" s="154" t="str">
        <x:f>IF(AND(AC$4&gt;=$E11,AC$4&lt;=$F11),"■","")</x:f>
      </x:c>
      <x:c r="AD11" s="154" t="str">
        <x:f>IF(AND(AD$4&gt;=$E11,AD$4&lt;=$F11),"■","")</x:f>
      </x:c>
      <x:c r="AE11" s="154" t="str">
        <x:f>IF(AND(AE$4&gt;=$E11,AE$4&lt;=$F11),"■","")</x:f>
      </x:c>
      <x:c r="AF11" s="154" t="str">
        <x:f>IF(AND(AF$4&gt;=$E11,AF$4&lt;=$F11),"■","")</x:f>
      </x:c>
      <x:c r="AG11" s="154" t="str">
        <x:f>IF(AND(AG$4&gt;=$E11,AG$4&lt;=$F11),"■","")</x:f>
      </x:c>
      <x:c r="AH11" s="168" t="str">
        <x:f>IF(AND(AH$4&gt;=$E11,AH$4&lt;=$F11),"■","")</x:f>
      </x:c>
      <x:c r="AI11" s="168" t="str">
        <x:f>IF(AND(AI$4&gt;=$E11,AI$4&lt;=$F11),"■","")</x:f>
      </x:c>
      <x:c r="AJ11" s="154" t="str">
        <x:f>IF(AND(AJ$4&gt;=$E11,AJ$4&lt;=$F11),"■","")</x:f>
      </x:c>
      <x:c r="AK11" s="154" t="str">
        <x:f>IF(AND(AK$4&gt;=$E11,AK$4&lt;=$F11),"■","")</x:f>
      </x:c>
      <x:c r="AL11" s="154" t="str">
        <x:f>IF(AND(AL$4&gt;=$E11,AL$4&lt;=$F11),"■","")</x:f>
      </x:c>
      <x:c r="AM11" s="154" t="str">
        <x:f>IF(AND(AM$4&gt;=$E11,AM$4&lt;=$F11),"■","")</x:f>
      </x:c>
      <x:c r="AN11" s="154" t="str">
        <x:f>IF(AND(AN$4&gt;=$E11,AN$4&lt;=$F11),"■","")</x:f>
      </x:c>
      <x:c r="AO11" s="168" t="str">
        <x:f>IF(AND(AO$4&gt;=$E11,AO$4&lt;=$F11),"■","")</x:f>
      </x:c>
      <x:c r="AP11" s="168" t="str">
        <x:f>IF(AND(AP$4&gt;=$E11,AP$4&lt;=$F11),"■","")</x:f>
      </x:c>
      <x:c r="AQ11" s="154" t="str">
        <x:f>IF(AND(AQ$4&gt;=$E11,AQ$4&lt;=$F11),"■","")</x:f>
      </x:c>
      <x:c r="AR11" s="154" t="str">
        <x:f>IF(AND(AR$4&gt;=$E11,AR$4&lt;=$F11),"■","")</x:f>
      </x:c>
    </x:row>
    <x:row r="12" ht="19.5" customHeight="1">
      <x:c r="A12" s="156" t="str">
        <x:v>開發</x:v>
      </x:c>
      <x:c r="B12" s="129" t="str">
        <x:v>CMS 後台建置</x:v>
      </x:c>
      <x:c r="C12" s="131" t="str">
        <x:v>Justhings</x:v>
      </x:c>
      <x:c r="D12" s="131" t="str">
        <x:v>待確認</x:v>
      </x:c>
      <x:c r="E12" s="146" t="n">
        <x:v>46251</x:v>
      </x:c>
      <x:c r="F12" s="146" t="n">
        <x:v>46262</x:v>
      </x:c>
      <x:c r="G12" s="129" t="str">
        <x:v>工作內容依範圍決策調整</x:v>
      </x:c>
      <x:c r="H12" s="154" t="str">
        <x:f>IF(AND(H$4&gt;=$E12,H$4&lt;=$F12),"■","")</x:f>
      </x:c>
      <x:c r="I12" s="154" t="str">
        <x:f>IF(AND(I$4&gt;=$E12,I$4&lt;=$F12),"■","")</x:f>
      </x:c>
      <x:c r="J12" s="154" t="str">
        <x:f>IF(AND(J$4&gt;=$E12,J$4&lt;=$F12),"■","")</x:f>
      </x:c>
      <x:c r="K12" s="154" t="str">
        <x:f>IF(AND(K$4&gt;=$E12,K$4&lt;=$F12),"■","")</x:f>
      </x:c>
      <x:c r="L12" s="154" t="str">
        <x:f>IF(AND(L$4&gt;=$E12,L$4&lt;=$F12),"■","")</x:f>
      </x:c>
      <x:c r="M12" s="168" t="str">
        <x:f>IF(AND(M$4&gt;=$E12,M$4&lt;=$F12),"■","")</x:f>
      </x:c>
      <x:c r="N12" s="168" t="str">
        <x:f>IF(AND(N$4&gt;=$E12,N$4&lt;=$F12),"■","")</x:f>
      </x:c>
      <x:c r="O12" s="154" t="str">
        <x:f>IF(AND(O$4&gt;=$E12,O$4&lt;=$F12),"■","")</x:f>
        <x:v>■</x:v>
      </x:c>
      <x:c r="P12" s="154" t="str">
        <x:f>IF(AND(P$4&gt;=$E12,P$4&lt;=$F12),"■","")</x:f>
        <x:v>■</x:v>
      </x:c>
      <x:c r="Q12" s="154" t="str">
        <x:f>IF(AND(Q$4&gt;=$E12,Q$4&lt;=$F12),"■","")</x:f>
        <x:v>■</x:v>
      </x:c>
      <x:c r="R12" s="154" t="str">
        <x:f>IF(AND(R$4&gt;=$E12,R$4&lt;=$F12),"■","")</x:f>
        <x:v>■</x:v>
      </x:c>
      <x:c r="S12" s="154" t="str">
        <x:f>IF(AND(S$4&gt;=$E12,S$4&lt;=$F12),"■","")</x:f>
        <x:v>■</x:v>
      </x:c>
      <x:c r="T12" s="168" t="str">
        <x:f>IF(AND(T$4&gt;=$E12,T$4&lt;=$F12),"■","")</x:f>
        <x:v>■</x:v>
      </x:c>
      <x:c r="U12" s="168" t="str">
        <x:f>IF(AND(U$4&gt;=$E12,U$4&lt;=$F12),"■","")</x:f>
        <x:v>■</x:v>
      </x:c>
      <x:c r="V12" s="154" t="str">
        <x:f>IF(AND(V$4&gt;=$E12,V$4&lt;=$F12),"■","")</x:f>
        <x:v>■</x:v>
      </x:c>
      <x:c r="W12" s="154" t="str">
        <x:f>IF(AND(W$4&gt;=$E12,W$4&lt;=$F12),"■","")</x:f>
        <x:v>■</x:v>
      </x:c>
      <x:c r="X12" s="154" t="str">
        <x:f>IF(AND(X$4&gt;=$E12,X$4&lt;=$F12),"■","")</x:f>
        <x:v>■</x:v>
      </x:c>
      <x:c r="Y12" s="154" t="str">
        <x:f>IF(AND(Y$4&gt;=$E12,Y$4&lt;=$F12),"■","")</x:f>
        <x:v>■</x:v>
      </x:c>
      <x:c r="Z12" s="154" t="str">
        <x:f>IF(AND(Z$4&gt;=$E12,Z$4&lt;=$F12),"■","")</x:f>
        <x:v>■</x:v>
      </x:c>
      <x:c r="AA12" s="168" t="str">
        <x:f>IF(AND(AA$4&gt;=$E12,AA$4&lt;=$F12),"■","")</x:f>
      </x:c>
      <x:c r="AB12" s="168" t="str">
        <x:f>IF(AND(AB$4&gt;=$E12,AB$4&lt;=$F12),"■","")</x:f>
      </x:c>
      <x:c r="AC12" s="154" t="str">
        <x:f>IF(AND(AC$4&gt;=$E12,AC$4&lt;=$F12),"■","")</x:f>
      </x:c>
      <x:c r="AD12" s="154" t="str">
        <x:f>IF(AND(AD$4&gt;=$E12,AD$4&lt;=$F12),"■","")</x:f>
      </x:c>
      <x:c r="AE12" s="154" t="str">
        <x:f>IF(AND(AE$4&gt;=$E12,AE$4&lt;=$F12),"■","")</x:f>
      </x:c>
      <x:c r="AF12" s="154" t="str">
        <x:f>IF(AND(AF$4&gt;=$E12,AF$4&lt;=$F12),"■","")</x:f>
      </x:c>
      <x:c r="AG12" s="154" t="str">
        <x:f>IF(AND(AG$4&gt;=$E12,AG$4&lt;=$F12),"■","")</x:f>
      </x:c>
      <x:c r="AH12" s="168" t="str">
        <x:f>IF(AND(AH$4&gt;=$E12,AH$4&lt;=$F12),"■","")</x:f>
      </x:c>
      <x:c r="AI12" s="168" t="str">
        <x:f>IF(AND(AI$4&gt;=$E12,AI$4&lt;=$F12),"■","")</x:f>
      </x:c>
      <x:c r="AJ12" s="154" t="str">
        <x:f>IF(AND(AJ$4&gt;=$E12,AJ$4&lt;=$F12),"■","")</x:f>
      </x:c>
      <x:c r="AK12" s="154" t="str">
        <x:f>IF(AND(AK$4&gt;=$E12,AK$4&lt;=$F12),"■","")</x:f>
      </x:c>
      <x:c r="AL12" s="154" t="str">
        <x:f>IF(AND(AL$4&gt;=$E12,AL$4&lt;=$F12),"■","")</x:f>
      </x:c>
      <x:c r="AM12" s="154" t="str">
        <x:f>IF(AND(AM$4&gt;=$E12,AM$4&lt;=$F12),"■","")</x:f>
      </x:c>
      <x:c r="AN12" s="154" t="str">
        <x:f>IF(AND(AN$4&gt;=$E12,AN$4&lt;=$F12),"■","")</x:f>
      </x:c>
      <x:c r="AO12" s="168" t="str">
        <x:f>IF(AND(AO$4&gt;=$E12,AO$4&lt;=$F12),"■","")</x:f>
      </x:c>
      <x:c r="AP12" s="168" t="str">
        <x:f>IF(AND(AP$4&gt;=$E12,AP$4&lt;=$F12),"■","")</x:f>
      </x:c>
      <x:c r="AQ12" s="154" t="str">
        <x:f>IF(AND(AQ$4&gt;=$E12,AQ$4&lt;=$F12),"■","")</x:f>
      </x:c>
      <x:c r="AR12" s="154" t="str">
        <x:f>IF(AND(AR$4&gt;=$E12,AR$4&lt;=$F12),"■","")</x:f>
      </x:c>
    </x:row>
    <x:row r="13" ht="19.5" customHeight="1">
      <x:c r="A13" s="159" t="str">
        <x:v>內容</x:v>
      </x:c>
      <x:c r="B13" s="129" t="str">
        <x:v>英文定稿、圖片與附件準備</x:v>
      </x:c>
      <x:c r="C13" s="131" t="str">
        <x:v>TIRI</x:v>
      </x:c>
      <x:c r="D13" s="131" t="str">
        <x:v>未開始</x:v>
      </x:c>
      <x:c r="E13" s="146" t="n">
        <x:v>46244</x:v>
      </x:c>
      <x:c r="F13" s="146" t="n">
        <x:v>46262</x:v>
      </x:c>
      <x:c r="G13" s="129" t="str">
        <x:v>8/28 前提供</x:v>
      </x:c>
      <x:c r="H13" s="157" t="str">
        <x:f>IF(AND(H$4&gt;=$E13,H$4&lt;=$F13),"■","")</x:f>
        <x:v>■</x:v>
      </x:c>
      <x:c r="I13" s="157" t="str">
        <x:f>IF(AND(I$4&gt;=$E13,I$4&lt;=$F13),"■","")</x:f>
        <x:v>■</x:v>
      </x:c>
      <x:c r="J13" s="157" t="str">
        <x:f>IF(AND(J$4&gt;=$E13,J$4&lt;=$F13),"■","")</x:f>
        <x:v>■</x:v>
      </x:c>
      <x:c r="K13" s="157" t="str">
        <x:f>IF(AND(K$4&gt;=$E13,K$4&lt;=$F13),"■","")</x:f>
        <x:v>■</x:v>
      </x:c>
      <x:c r="L13" s="157" t="str">
        <x:f>IF(AND(L$4&gt;=$E13,L$4&lt;=$F13),"■","")</x:f>
        <x:v>■</x:v>
      </x:c>
      <x:c r="M13" s="169" t="str">
        <x:f>IF(AND(M$4&gt;=$E13,M$4&lt;=$F13),"■","")</x:f>
        <x:v>■</x:v>
      </x:c>
      <x:c r="N13" s="169" t="str">
        <x:f>IF(AND(N$4&gt;=$E13,N$4&lt;=$F13),"■","")</x:f>
        <x:v>■</x:v>
      </x:c>
      <x:c r="O13" s="157" t="str">
        <x:f>IF(AND(O$4&gt;=$E13,O$4&lt;=$F13),"■","")</x:f>
        <x:v>■</x:v>
      </x:c>
      <x:c r="P13" s="157" t="str">
        <x:f>IF(AND(P$4&gt;=$E13,P$4&lt;=$F13),"■","")</x:f>
        <x:v>■</x:v>
      </x:c>
      <x:c r="Q13" s="157" t="str">
        <x:f>IF(AND(Q$4&gt;=$E13,Q$4&lt;=$F13),"■","")</x:f>
        <x:v>■</x:v>
      </x:c>
      <x:c r="R13" s="157" t="str">
        <x:f>IF(AND(R$4&gt;=$E13,R$4&lt;=$F13),"■","")</x:f>
        <x:v>■</x:v>
      </x:c>
      <x:c r="S13" s="157" t="str">
        <x:f>IF(AND(S$4&gt;=$E13,S$4&lt;=$F13),"■","")</x:f>
        <x:v>■</x:v>
      </x:c>
      <x:c r="T13" s="169" t="str">
        <x:f>IF(AND(T$4&gt;=$E13,T$4&lt;=$F13),"■","")</x:f>
        <x:v>■</x:v>
      </x:c>
      <x:c r="U13" s="169" t="str">
        <x:f>IF(AND(U$4&gt;=$E13,U$4&lt;=$F13),"■","")</x:f>
        <x:v>■</x:v>
      </x:c>
      <x:c r="V13" s="157" t="str">
        <x:f>IF(AND(V$4&gt;=$E13,V$4&lt;=$F13),"■","")</x:f>
        <x:v>■</x:v>
      </x:c>
      <x:c r="W13" s="157" t="str">
        <x:f>IF(AND(W$4&gt;=$E13,W$4&lt;=$F13),"■","")</x:f>
        <x:v>■</x:v>
      </x:c>
      <x:c r="X13" s="157" t="str">
        <x:f>IF(AND(X$4&gt;=$E13,X$4&lt;=$F13),"■","")</x:f>
        <x:v>■</x:v>
      </x:c>
      <x:c r="Y13" s="157" t="str">
        <x:f>IF(AND(Y$4&gt;=$E13,Y$4&lt;=$F13),"■","")</x:f>
        <x:v>■</x:v>
      </x:c>
      <x:c r="Z13" s="157" t="str">
        <x:f>IF(AND(Z$4&gt;=$E13,Z$4&lt;=$F13),"■","")</x:f>
        <x:v>■</x:v>
      </x:c>
      <x:c r="AA13" s="169" t="str">
        <x:f>IF(AND(AA$4&gt;=$E13,AA$4&lt;=$F13),"■","")</x:f>
      </x:c>
      <x:c r="AB13" s="169" t="str">
        <x:f>IF(AND(AB$4&gt;=$E13,AB$4&lt;=$F13),"■","")</x:f>
      </x:c>
      <x:c r="AC13" s="157" t="str">
        <x:f>IF(AND(AC$4&gt;=$E13,AC$4&lt;=$F13),"■","")</x:f>
      </x:c>
      <x:c r="AD13" s="157" t="str">
        <x:f>IF(AND(AD$4&gt;=$E13,AD$4&lt;=$F13),"■","")</x:f>
      </x:c>
      <x:c r="AE13" s="157" t="str">
        <x:f>IF(AND(AE$4&gt;=$E13,AE$4&lt;=$F13),"■","")</x:f>
      </x:c>
      <x:c r="AF13" s="157" t="str">
        <x:f>IF(AND(AF$4&gt;=$E13,AF$4&lt;=$F13),"■","")</x:f>
      </x:c>
      <x:c r="AG13" s="157" t="str">
        <x:f>IF(AND(AG$4&gt;=$E13,AG$4&lt;=$F13),"■","")</x:f>
      </x:c>
      <x:c r="AH13" s="169" t="str">
        <x:f>IF(AND(AH$4&gt;=$E13,AH$4&lt;=$F13),"■","")</x:f>
      </x:c>
      <x:c r="AI13" s="169" t="str">
        <x:f>IF(AND(AI$4&gt;=$E13,AI$4&lt;=$F13),"■","")</x:f>
      </x:c>
      <x:c r="AJ13" s="157" t="str">
        <x:f>IF(AND(AJ$4&gt;=$E13,AJ$4&lt;=$F13),"■","")</x:f>
      </x:c>
      <x:c r="AK13" s="157" t="str">
        <x:f>IF(AND(AK$4&gt;=$E13,AK$4&lt;=$F13),"■","")</x:f>
      </x:c>
      <x:c r="AL13" s="157" t="str">
        <x:f>IF(AND(AL$4&gt;=$E13,AL$4&lt;=$F13),"■","")</x:f>
      </x:c>
      <x:c r="AM13" s="157" t="str">
        <x:f>IF(AND(AM$4&gt;=$E13,AM$4&lt;=$F13),"■","")</x:f>
      </x:c>
      <x:c r="AN13" s="157" t="str">
        <x:f>IF(AND(AN$4&gt;=$E13,AN$4&lt;=$F13),"■","")</x:f>
      </x:c>
      <x:c r="AO13" s="169" t="str">
        <x:f>IF(AND(AO$4&gt;=$E13,AO$4&lt;=$F13),"■","")</x:f>
      </x:c>
      <x:c r="AP13" s="169" t="str">
        <x:f>IF(AND(AP$4&gt;=$E13,AP$4&lt;=$F13),"■","")</x:f>
      </x:c>
      <x:c r="AQ13" s="157" t="str">
        <x:f>IF(AND(AQ$4&gt;=$E13,AQ$4&lt;=$F13),"■","")</x:f>
      </x:c>
      <x:c r="AR13" s="157" t="str">
        <x:f>IF(AND(AR$4&gt;=$E13,AR$4&lt;=$F13),"■","")</x:f>
      </x:c>
    </x:row>
    <x:row r="14" ht="19.5" customHeight="1">
      <x:c r="A14" s="159" t="str">
        <x:v>內容</x:v>
      </x:c>
      <x:c r="B14" s="129" t="str">
        <x:v>中文內容上架與連結檢查</x:v>
      </x:c>
      <x:c r="C14" s="131" t="str">
        <x:v>Justhings</x:v>
      </x:c>
      <x:c r="D14" s="131" t="str">
        <x:v>未開始</x:v>
      </x:c>
      <x:c r="E14" s="146" t="n">
        <x:v>46265</x:v>
      </x:c>
      <x:c r="F14" s="146" t="n">
        <x:v>46269</x:v>
      </x:c>
      <x:c r="G14" s="129" t="str"/>
      <x:c r="H14" s="157" t="str">
        <x:f>IF(AND(H$4&gt;=$E14,H$4&lt;=$F14),"■","")</x:f>
      </x:c>
      <x:c r="I14" s="157" t="str">
        <x:f>IF(AND(I$4&gt;=$E14,I$4&lt;=$F14),"■","")</x:f>
      </x:c>
      <x:c r="J14" s="157" t="str">
        <x:f>IF(AND(J$4&gt;=$E14,J$4&lt;=$F14),"■","")</x:f>
      </x:c>
      <x:c r="K14" s="157" t="str">
        <x:f>IF(AND(K$4&gt;=$E14,K$4&lt;=$F14),"■","")</x:f>
      </x:c>
      <x:c r="L14" s="157" t="str">
        <x:f>IF(AND(L$4&gt;=$E14,L$4&lt;=$F14),"■","")</x:f>
      </x:c>
      <x:c r="M14" s="169" t="str">
        <x:f>IF(AND(M$4&gt;=$E14,M$4&lt;=$F14),"■","")</x:f>
      </x:c>
      <x:c r="N14" s="169" t="str">
        <x:f>IF(AND(N$4&gt;=$E14,N$4&lt;=$F14),"■","")</x:f>
      </x:c>
      <x:c r="O14" s="157" t="str">
        <x:f>IF(AND(O$4&gt;=$E14,O$4&lt;=$F14),"■","")</x:f>
      </x:c>
      <x:c r="P14" s="157" t="str">
        <x:f>IF(AND(P$4&gt;=$E14,P$4&lt;=$F14),"■","")</x:f>
      </x:c>
      <x:c r="Q14" s="157" t="str">
        <x:f>IF(AND(Q$4&gt;=$E14,Q$4&lt;=$F14),"■","")</x:f>
      </x:c>
      <x:c r="R14" s="157" t="str">
        <x:f>IF(AND(R$4&gt;=$E14,R$4&lt;=$F14),"■","")</x:f>
      </x:c>
      <x:c r="S14" s="157" t="str">
        <x:f>IF(AND(S$4&gt;=$E14,S$4&lt;=$F14),"■","")</x:f>
      </x:c>
      <x:c r="T14" s="169" t="str">
        <x:f>IF(AND(T$4&gt;=$E14,T$4&lt;=$F14),"■","")</x:f>
      </x:c>
      <x:c r="U14" s="169" t="str">
        <x:f>IF(AND(U$4&gt;=$E14,U$4&lt;=$F14),"■","")</x:f>
      </x:c>
      <x:c r="V14" s="157" t="str">
        <x:f>IF(AND(V$4&gt;=$E14,V$4&lt;=$F14),"■","")</x:f>
      </x:c>
      <x:c r="W14" s="157" t="str">
        <x:f>IF(AND(W$4&gt;=$E14,W$4&lt;=$F14),"■","")</x:f>
      </x:c>
      <x:c r="X14" s="157" t="str">
        <x:f>IF(AND(X$4&gt;=$E14,X$4&lt;=$F14),"■","")</x:f>
      </x:c>
      <x:c r="Y14" s="157" t="str">
        <x:f>IF(AND(Y$4&gt;=$E14,Y$4&lt;=$F14),"■","")</x:f>
      </x:c>
      <x:c r="Z14" s="157" t="str">
        <x:f>IF(AND(Z$4&gt;=$E14,Z$4&lt;=$F14),"■","")</x:f>
      </x:c>
      <x:c r="AA14" s="169" t="str">
        <x:f>IF(AND(AA$4&gt;=$E14,AA$4&lt;=$F14),"■","")</x:f>
      </x:c>
      <x:c r="AB14" s="169" t="str">
        <x:f>IF(AND(AB$4&gt;=$E14,AB$4&lt;=$F14),"■","")</x:f>
      </x:c>
      <x:c r="AC14" s="157" t="str">
        <x:f>IF(AND(AC$4&gt;=$E14,AC$4&lt;=$F14),"■","")</x:f>
        <x:v>■</x:v>
      </x:c>
      <x:c r="AD14" s="157" t="str">
        <x:f>IF(AND(AD$4&gt;=$E14,AD$4&lt;=$F14),"■","")</x:f>
        <x:v>■</x:v>
      </x:c>
      <x:c r="AE14" s="157" t="str">
        <x:f>IF(AND(AE$4&gt;=$E14,AE$4&lt;=$F14),"■","")</x:f>
        <x:v>■</x:v>
      </x:c>
      <x:c r="AF14" s="157" t="str">
        <x:f>IF(AND(AF$4&gt;=$E14,AF$4&lt;=$F14),"■","")</x:f>
        <x:v>■</x:v>
      </x:c>
      <x:c r="AG14" s="157" t="str">
        <x:f>IF(AND(AG$4&gt;=$E14,AG$4&lt;=$F14),"■","")</x:f>
        <x:v>■</x:v>
      </x:c>
      <x:c r="AH14" s="169" t="str">
        <x:f>IF(AND(AH$4&gt;=$E14,AH$4&lt;=$F14),"■","")</x:f>
      </x:c>
      <x:c r="AI14" s="169" t="str">
        <x:f>IF(AND(AI$4&gt;=$E14,AI$4&lt;=$F14),"■","")</x:f>
      </x:c>
      <x:c r="AJ14" s="157" t="str">
        <x:f>IF(AND(AJ$4&gt;=$E14,AJ$4&lt;=$F14),"■","")</x:f>
      </x:c>
      <x:c r="AK14" s="157" t="str">
        <x:f>IF(AND(AK$4&gt;=$E14,AK$4&lt;=$F14),"■","")</x:f>
      </x:c>
      <x:c r="AL14" s="157" t="str">
        <x:f>IF(AND(AL$4&gt;=$E14,AL$4&lt;=$F14),"■","")</x:f>
      </x:c>
      <x:c r="AM14" s="157" t="str">
        <x:f>IF(AND(AM$4&gt;=$E14,AM$4&lt;=$F14),"■","")</x:f>
      </x:c>
      <x:c r="AN14" s="157" t="str">
        <x:f>IF(AND(AN$4&gt;=$E14,AN$4&lt;=$F14),"■","")</x:f>
      </x:c>
      <x:c r="AO14" s="169" t="str">
        <x:f>IF(AND(AO$4&gt;=$E14,AO$4&lt;=$F14),"■","")</x:f>
      </x:c>
      <x:c r="AP14" s="169" t="str">
        <x:f>IF(AND(AP$4&gt;=$E14,AP$4&lt;=$F14),"■","")</x:f>
      </x:c>
      <x:c r="AQ14" s="157" t="str">
        <x:f>IF(AND(AQ$4&gt;=$E14,AQ$4&lt;=$F14),"■","")</x:f>
      </x:c>
      <x:c r="AR14" s="157" t="str">
        <x:f>IF(AND(AR$4&gt;=$E14,AR$4&lt;=$F14),"■","")</x:f>
      </x:c>
    </x:row>
    <x:row r="15" ht="19.5" customHeight="1">
      <x:c r="A15" s="159" t="str">
        <x:v>內容</x:v>
      </x:c>
      <x:c r="B15" s="129" t="str">
        <x:v>英文內容上架</x:v>
      </x:c>
      <x:c r="C15" s="131" t="str">
        <x:v>Justhings</x:v>
      </x:c>
      <x:c r="D15" s="131" t="str">
        <x:v>未開始</x:v>
      </x:c>
      <x:c r="E15" s="146" t="n">
        <x:v>46272</x:v>
      </x:c>
      <x:c r="F15" s="146" t="n">
        <x:v>46274</x:v>
      </x:c>
      <x:c r="G15" s="129" t="str">
        <x:v>依 TIRI 提供定稿</x:v>
      </x:c>
      <x:c r="H15" s="157" t="str">
        <x:f>IF(AND(H$4&gt;=$E15,H$4&lt;=$F15),"■","")</x:f>
      </x:c>
      <x:c r="I15" s="157" t="str">
        <x:f>IF(AND(I$4&gt;=$E15,I$4&lt;=$F15),"■","")</x:f>
      </x:c>
      <x:c r="J15" s="157" t="str">
        <x:f>IF(AND(J$4&gt;=$E15,J$4&lt;=$F15),"■","")</x:f>
      </x:c>
      <x:c r="K15" s="157" t="str">
        <x:f>IF(AND(K$4&gt;=$E15,K$4&lt;=$F15),"■","")</x:f>
      </x:c>
      <x:c r="L15" s="157" t="str">
        <x:f>IF(AND(L$4&gt;=$E15,L$4&lt;=$F15),"■","")</x:f>
      </x:c>
      <x:c r="M15" s="169" t="str">
        <x:f>IF(AND(M$4&gt;=$E15,M$4&lt;=$F15),"■","")</x:f>
      </x:c>
      <x:c r="N15" s="169" t="str">
        <x:f>IF(AND(N$4&gt;=$E15,N$4&lt;=$F15),"■","")</x:f>
      </x:c>
      <x:c r="O15" s="157" t="str">
        <x:f>IF(AND(O$4&gt;=$E15,O$4&lt;=$F15),"■","")</x:f>
      </x:c>
      <x:c r="P15" s="157" t="str">
        <x:f>IF(AND(P$4&gt;=$E15,P$4&lt;=$F15),"■","")</x:f>
      </x:c>
      <x:c r="Q15" s="157" t="str">
        <x:f>IF(AND(Q$4&gt;=$E15,Q$4&lt;=$F15),"■","")</x:f>
      </x:c>
      <x:c r="R15" s="157" t="str">
        <x:f>IF(AND(R$4&gt;=$E15,R$4&lt;=$F15),"■","")</x:f>
      </x:c>
      <x:c r="S15" s="157" t="str">
        <x:f>IF(AND(S$4&gt;=$E15,S$4&lt;=$F15),"■","")</x:f>
      </x:c>
      <x:c r="T15" s="169" t="str">
        <x:f>IF(AND(T$4&gt;=$E15,T$4&lt;=$F15),"■","")</x:f>
      </x:c>
      <x:c r="U15" s="169" t="str">
        <x:f>IF(AND(U$4&gt;=$E15,U$4&lt;=$F15),"■","")</x:f>
      </x:c>
      <x:c r="V15" s="157" t="str">
        <x:f>IF(AND(V$4&gt;=$E15,V$4&lt;=$F15),"■","")</x:f>
      </x:c>
      <x:c r="W15" s="157" t="str">
        <x:f>IF(AND(W$4&gt;=$E15,W$4&lt;=$F15),"■","")</x:f>
      </x:c>
      <x:c r="X15" s="157" t="str">
        <x:f>IF(AND(X$4&gt;=$E15,X$4&lt;=$F15),"■","")</x:f>
      </x:c>
      <x:c r="Y15" s="157" t="str">
        <x:f>IF(AND(Y$4&gt;=$E15,Y$4&lt;=$F15),"■","")</x:f>
      </x:c>
      <x:c r="Z15" s="157" t="str">
        <x:f>IF(AND(Z$4&gt;=$E15,Z$4&lt;=$F15),"■","")</x:f>
      </x:c>
      <x:c r="AA15" s="169" t="str">
        <x:f>IF(AND(AA$4&gt;=$E15,AA$4&lt;=$F15),"■","")</x:f>
      </x:c>
      <x:c r="AB15" s="169" t="str">
        <x:f>IF(AND(AB$4&gt;=$E15,AB$4&lt;=$F15),"■","")</x:f>
      </x:c>
      <x:c r="AC15" s="157" t="str">
        <x:f>IF(AND(AC$4&gt;=$E15,AC$4&lt;=$F15),"■","")</x:f>
      </x:c>
      <x:c r="AD15" s="157" t="str">
        <x:f>IF(AND(AD$4&gt;=$E15,AD$4&lt;=$F15),"■","")</x:f>
      </x:c>
      <x:c r="AE15" s="157" t="str">
        <x:f>IF(AND(AE$4&gt;=$E15,AE$4&lt;=$F15),"■","")</x:f>
      </x:c>
      <x:c r="AF15" s="157" t="str">
        <x:f>IF(AND(AF$4&gt;=$E15,AF$4&lt;=$F15),"■","")</x:f>
      </x:c>
      <x:c r="AG15" s="157" t="str">
        <x:f>IF(AND(AG$4&gt;=$E15,AG$4&lt;=$F15),"■","")</x:f>
      </x:c>
      <x:c r="AH15" s="169" t="str">
        <x:f>IF(AND(AH$4&gt;=$E15,AH$4&lt;=$F15),"■","")</x:f>
      </x:c>
      <x:c r="AI15" s="169" t="str">
        <x:f>IF(AND(AI$4&gt;=$E15,AI$4&lt;=$F15),"■","")</x:f>
      </x:c>
      <x:c r="AJ15" s="157" t="str">
        <x:f>IF(AND(AJ$4&gt;=$E15,AJ$4&lt;=$F15),"■","")</x:f>
        <x:v>■</x:v>
      </x:c>
      <x:c r="AK15" s="157" t="str">
        <x:f>IF(AND(AK$4&gt;=$E15,AK$4&lt;=$F15),"■","")</x:f>
        <x:v>■</x:v>
      </x:c>
      <x:c r="AL15" s="157" t="str">
        <x:f>IF(AND(AL$4&gt;=$E15,AL$4&lt;=$F15),"■","")</x:f>
        <x:v>■</x:v>
      </x:c>
      <x:c r="AM15" s="157" t="str">
        <x:f>IF(AND(AM$4&gt;=$E15,AM$4&lt;=$F15),"■","")</x:f>
      </x:c>
      <x:c r="AN15" s="157" t="str">
        <x:f>IF(AND(AN$4&gt;=$E15,AN$4&lt;=$F15),"■","")</x:f>
      </x:c>
      <x:c r="AO15" s="169" t="str">
        <x:f>IF(AND(AO$4&gt;=$E15,AO$4&lt;=$F15),"■","")</x:f>
      </x:c>
      <x:c r="AP15" s="169" t="str">
        <x:f>IF(AND(AP$4&gt;=$E15,AP$4&lt;=$F15),"■","")</x:f>
      </x:c>
      <x:c r="AQ15" s="157" t="str">
        <x:f>IF(AND(AQ$4&gt;=$E15,AQ$4&lt;=$F15),"■","")</x:f>
      </x:c>
      <x:c r="AR15" s="157" t="str">
        <x:f>IF(AND(AR$4&gt;=$E15,AR$4&lt;=$F15),"■","")</x:f>
      </x:c>
    </x:row>
    <x:row r="16" ht="19.5" customHeight="1">
      <x:c r="A16" s="162" t="str">
        <x:v>測試</x:v>
      </x:c>
      <x:c r="B16" s="129" t="str">
        <x:v>雙語、桌機、手機與表單測試</x:v>
      </x:c>
      <x:c r="C16" s="131" t="str">
        <x:v>Justhings</x:v>
      </x:c>
      <x:c r="D16" s="131" t="str">
        <x:v>未開始</x:v>
      </x:c>
      <x:c r="E16" s="146" t="n">
        <x:v>46272</x:v>
      </x:c>
      <x:c r="F16" s="146" t="n">
        <x:v>46274</x:v>
      </x:c>
      <x:c r="G16" s="129" t="str"/>
      <x:c r="H16" s="160" t="str">
        <x:f>IF(AND(H$4&gt;=$E16,H$4&lt;=$F16),"■","")</x:f>
      </x:c>
      <x:c r="I16" s="160" t="str">
        <x:f>IF(AND(I$4&gt;=$E16,I$4&lt;=$F16),"■","")</x:f>
      </x:c>
      <x:c r="J16" s="160" t="str">
        <x:f>IF(AND(J$4&gt;=$E16,J$4&lt;=$F16),"■","")</x:f>
      </x:c>
      <x:c r="K16" s="160" t="str">
        <x:f>IF(AND(K$4&gt;=$E16,K$4&lt;=$F16),"■","")</x:f>
      </x:c>
      <x:c r="L16" s="160" t="str">
        <x:f>IF(AND(L$4&gt;=$E16,L$4&lt;=$F16),"■","")</x:f>
      </x:c>
      <x:c r="M16" s="170" t="str">
        <x:f>IF(AND(M$4&gt;=$E16,M$4&lt;=$F16),"■","")</x:f>
      </x:c>
      <x:c r="N16" s="170" t="str">
        <x:f>IF(AND(N$4&gt;=$E16,N$4&lt;=$F16),"■","")</x:f>
      </x:c>
      <x:c r="O16" s="160" t="str">
        <x:f>IF(AND(O$4&gt;=$E16,O$4&lt;=$F16),"■","")</x:f>
      </x:c>
      <x:c r="P16" s="160" t="str">
        <x:f>IF(AND(P$4&gt;=$E16,P$4&lt;=$F16),"■","")</x:f>
      </x:c>
      <x:c r="Q16" s="160" t="str">
        <x:f>IF(AND(Q$4&gt;=$E16,Q$4&lt;=$F16),"■","")</x:f>
      </x:c>
      <x:c r="R16" s="160" t="str">
        <x:f>IF(AND(R$4&gt;=$E16,R$4&lt;=$F16),"■","")</x:f>
      </x:c>
      <x:c r="S16" s="160" t="str">
        <x:f>IF(AND(S$4&gt;=$E16,S$4&lt;=$F16),"■","")</x:f>
      </x:c>
      <x:c r="T16" s="170" t="str">
        <x:f>IF(AND(T$4&gt;=$E16,T$4&lt;=$F16),"■","")</x:f>
      </x:c>
      <x:c r="U16" s="170" t="str">
        <x:f>IF(AND(U$4&gt;=$E16,U$4&lt;=$F16),"■","")</x:f>
      </x:c>
      <x:c r="V16" s="160" t="str">
        <x:f>IF(AND(V$4&gt;=$E16,V$4&lt;=$F16),"■","")</x:f>
      </x:c>
      <x:c r="W16" s="160" t="str">
        <x:f>IF(AND(W$4&gt;=$E16,W$4&lt;=$F16),"■","")</x:f>
      </x:c>
      <x:c r="X16" s="160" t="str">
        <x:f>IF(AND(X$4&gt;=$E16,X$4&lt;=$F16),"■","")</x:f>
      </x:c>
      <x:c r="Y16" s="160" t="str">
        <x:f>IF(AND(Y$4&gt;=$E16,Y$4&lt;=$F16),"■","")</x:f>
      </x:c>
      <x:c r="Z16" s="160" t="str">
        <x:f>IF(AND(Z$4&gt;=$E16,Z$4&lt;=$F16),"■","")</x:f>
      </x:c>
      <x:c r="AA16" s="170" t="str">
        <x:f>IF(AND(AA$4&gt;=$E16,AA$4&lt;=$F16),"■","")</x:f>
      </x:c>
      <x:c r="AB16" s="170" t="str">
        <x:f>IF(AND(AB$4&gt;=$E16,AB$4&lt;=$F16),"■","")</x:f>
      </x:c>
      <x:c r="AC16" s="160" t="str">
        <x:f>IF(AND(AC$4&gt;=$E16,AC$4&lt;=$F16),"■","")</x:f>
      </x:c>
      <x:c r="AD16" s="160" t="str">
        <x:f>IF(AND(AD$4&gt;=$E16,AD$4&lt;=$F16),"■","")</x:f>
      </x:c>
      <x:c r="AE16" s="160" t="str">
        <x:f>IF(AND(AE$4&gt;=$E16,AE$4&lt;=$F16),"■","")</x:f>
      </x:c>
      <x:c r="AF16" s="160" t="str">
        <x:f>IF(AND(AF$4&gt;=$E16,AF$4&lt;=$F16),"■","")</x:f>
      </x:c>
      <x:c r="AG16" s="160" t="str">
        <x:f>IF(AND(AG$4&gt;=$E16,AG$4&lt;=$F16),"■","")</x:f>
      </x:c>
      <x:c r="AH16" s="170" t="str">
        <x:f>IF(AND(AH$4&gt;=$E16,AH$4&lt;=$F16),"■","")</x:f>
      </x:c>
      <x:c r="AI16" s="170" t="str">
        <x:f>IF(AND(AI$4&gt;=$E16,AI$4&lt;=$F16),"■","")</x:f>
      </x:c>
      <x:c r="AJ16" s="160" t="str">
        <x:f>IF(AND(AJ$4&gt;=$E16,AJ$4&lt;=$F16),"■","")</x:f>
        <x:v>■</x:v>
      </x:c>
      <x:c r="AK16" s="160" t="str">
        <x:f>IF(AND(AK$4&gt;=$E16,AK$4&lt;=$F16),"■","")</x:f>
        <x:v>■</x:v>
      </x:c>
      <x:c r="AL16" s="160" t="str">
        <x:f>IF(AND(AL$4&gt;=$E16,AL$4&lt;=$F16),"■","")</x:f>
        <x:v>■</x:v>
      </x:c>
      <x:c r="AM16" s="160" t="str">
        <x:f>IF(AND(AM$4&gt;=$E16,AM$4&lt;=$F16),"■","")</x:f>
      </x:c>
      <x:c r="AN16" s="160" t="str">
        <x:f>IF(AND(AN$4&gt;=$E16,AN$4&lt;=$F16),"■","")</x:f>
      </x:c>
      <x:c r="AO16" s="170" t="str">
        <x:f>IF(AND(AO$4&gt;=$E16,AO$4&lt;=$F16),"■","")</x:f>
      </x:c>
      <x:c r="AP16" s="170" t="str">
        <x:f>IF(AND(AP$4&gt;=$E16,AP$4&lt;=$F16),"■","")</x:f>
      </x:c>
      <x:c r="AQ16" s="160" t="str">
        <x:f>IF(AND(AQ$4&gt;=$E16,AQ$4&lt;=$F16),"■","")</x:f>
      </x:c>
      <x:c r="AR16" s="160" t="str">
        <x:f>IF(AND(AR$4&gt;=$E16,AR$4&lt;=$F16),"■","")</x:f>
      </x:c>
    </x:row>
    <x:row r="17" ht="19.5" customHeight="1">
      <x:c r="A17" s="162" t="str">
        <x:v>測試</x:v>
      </x:c>
      <x:c r="B17" s="129" t="str">
        <x:v>TIRI 最終確認與整合回饋</x:v>
      </x:c>
      <x:c r="C17" s="131" t="str">
        <x:v>TIRI</x:v>
      </x:c>
      <x:c r="D17" s="131" t="str">
        <x:v>未開始</x:v>
      </x:c>
      <x:c r="E17" s="146" t="n">
        <x:v>46275</x:v>
      </x:c>
      <x:c r="F17" s="146" t="n">
        <x:v>46276</x:v>
      </x:c>
      <x:c r="G17" s="129" t="str">
        <x:v>一次提供整合回饋</x:v>
      </x:c>
      <x:c r="H17" s="160" t="str">
        <x:f>IF(AND(H$4&gt;=$E17,H$4&lt;=$F17),"■","")</x:f>
      </x:c>
      <x:c r="I17" s="160" t="str">
        <x:f>IF(AND(I$4&gt;=$E17,I$4&lt;=$F17),"■","")</x:f>
      </x:c>
      <x:c r="J17" s="160" t="str">
        <x:f>IF(AND(J$4&gt;=$E17,J$4&lt;=$F17),"■","")</x:f>
      </x:c>
      <x:c r="K17" s="160" t="str">
        <x:f>IF(AND(K$4&gt;=$E17,K$4&lt;=$F17),"■","")</x:f>
      </x:c>
      <x:c r="L17" s="160" t="str">
        <x:f>IF(AND(L$4&gt;=$E17,L$4&lt;=$F17),"■","")</x:f>
      </x:c>
      <x:c r="M17" s="170" t="str">
        <x:f>IF(AND(M$4&gt;=$E17,M$4&lt;=$F17),"■","")</x:f>
      </x:c>
      <x:c r="N17" s="170" t="str">
        <x:f>IF(AND(N$4&gt;=$E17,N$4&lt;=$F17),"■","")</x:f>
      </x:c>
      <x:c r="O17" s="160" t="str">
        <x:f>IF(AND(O$4&gt;=$E17,O$4&lt;=$F17),"■","")</x:f>
      </x:c>
      <x:c r="P17" s="160" t="str">
        <x:f>IF(AND(P$4&gt;=$E17,P$4&lt;=$F17),"■","")</x:f>
      </x:c>
      <x:c r="Q17" s="160" t="str">
        <x:f>IF(AND(Q$4&gt;=$E17,Q$4&lt;=$F17),"■","")</x:f>
      </x:c>
      <x:c r="R17" s="160" t="str">
        <x:f>IF(AND(R$4&gt;=$E17,R$4&lt;=$F17),"■","")</x:f>
      </x:c>
      <x:c r="S17" s="160" t="str">
        <x:f>IF(AND(S$4&gt;=$E17,S$4&lt;=$F17),"■","")</x:f>
      </x:c>
      <x:c r="T17" s="170" t="str">
        <x:f>IF(AND(T$4&gt;=$E17,T$4&lt;=$F17),"■","")</x:f>
      </x:c>
      <x:c r="U17" s="170" t="str">
        <x:f>IF(AND(U$4&gt;=$E17,U$4&lt;=$F17),"■","")</x:f>
      </x:c>
      <x:c r="V17" s="160" t="str">
        <x:f>IF(AND(V$4&gt;=$E17,V$4&lt;=$F17),"■","")</x:f>
      </x:c>
      <x:c r="W17" s="160" t="str">
        <x:f>IF(AND(W$4&gt;=$E17,W$4&lt;=$F17),"■","")</x:f>
      </x:c>
      <x:c r="X17" s="160" t="str">
        <x:f>IF(AND(X$4&gt;=$E17,X$4&lt;=$F17),"■","")</x:f>
      </x:c>
      <x:c r="Y17" s="160" t="str">
        <x:f>IF(AND(Y$4&gt;=$E17,Y$4&lt;=$F17),"■","")</x:f>
      </x:c>
      <x:c r="Z17" s="160" t="str">
        <x:f>IF(AND(Z$4&gt;=$E17,Z$4&lt;=$F17),"■","")</x:f>
      </x:c>
      <x:c r="AA17" s="170" t="str">
        <x:f>IF(AND(AA$4&gt;=$E17,AA$4&lt;=$F17),"■","")</x:f>
      </x:c>
      <x:c r="AB17" s="170" t="str">
        <x:f>IF(AND(AB$4&gt;=$E17,AB$4&lt;=$F17),"■","")</x:f>
      </x:c>
      <x:c r="AC17" s="160" t="str">
        <x:f>IF(AND(AC$4&gt;=$E17,AC$4&lt;=$F17),"■","")</x:f>
      </x:c>
      <x:c r="AD17" s="160" t="str">
        <x:f>IF(AND(AD$4&gt;=$E17,AD$4&lt;=$F17),"■","")</x:f>
      </x:c>
      <x:c r="AE17" s="160" t="str">
        <x:f>IF(AND(AE$4&gt;=$E17,AE$4&lt;=$F17),"■","")</x:f>
      </x:c>
      <x:c r="AF17" s="160" t="str">
        <x:f>IF(AND(AF$4&gt;=$E17,AF$4&lt;=$F17),"■","")</x:f>
      </x:c>
      <x:c r="AG17" s="160" t="str">
        <x:f>IF(AND(AG$4&gt;=$E17,AG$4&lt;=$F17),"■","")</x:f>
      </x:c>
      <x:c r="AH17" s="170" t="str">
        <x:f>IF(AND(AH$4&gt;=$E17,AH$4&lt;=$F17),"■","")</x:f>
      </x:c>
      <x:c r="AI17" s="170" t="str">
        <x:f>IF(AND(AI$4&gt;=$E17,AI$4&lt;=$F17),"■","")</x:f>
      </x:c>
      <x:c r="AJ17" s="160" t="str">
        <x:f>IF(AND(AJ$4&gt;=$E17,AJ$4&lt;=$F17),"■","")</x:f>
      </x:c>
      <x:c r="AK17" s="160" t="str">
        <x:f>IF(AND(AK$4&gt;=$E17,AK$4&lt;=$F17),"■","")</x:f>
      </x:c>
      <x:c r="AL17" s="160" t="str">
        <x:f>IF(AND(AL$4&gt;=$E17,AL$4&lt;=$F17),"■","")</x:f>
      </x:c>
      <x:c r="AM17" s="160" t="str">
        <x:f>IF(AND(AM$4&gt;=$E17,AM$4&lt;=$F17),"■","")</x:f>
        <x:v>■</x:v>
      </x:c>
      <x:c r="AN17" s="160" t="str">
        <x:f>IF(AND(AN$4&gt;=$E17,AN$4&lt;=$F17),"■","")</x:f>
        <x:v>■</x:v>
      </x:c>
      <x:c r="AO17" s="170" t="str">
        <x:f>IF(AND(AO$4&gt;=$E17,AO$4&lt;=$F17),"■","")</x:f>
      </x:c>
      <x:c r="AP17" s="170" t="str">
        <x:f>IF(AND(AP$4&gt;=$E17,AP$4&lt;=$F17),"■","")</x:f>
      </x:c>
      <x:c r="AQ17" s="160" t="str">
        <x:f>IF(AND(AQ$4&gt;=$E17,AQ$4&lt;=$F17),"■","")</x:f>
      </x:c>
      <x:c r="AR17" s="160" t="str">
        <x:f>IF(AND(AR$4&gt;=$E17,AR$4&lt;=$F17),"■","")</x:f>
      </x:c>
    </x:row>
    <x:row r="18" ht="19.5" customHeight="1">
      <x:c r="A18" s="165" t="str">
        <x:v>上線</x:v>
      </x:c>
      <x:c r="B18" s="129" t="str">
        <x:v>最終修正與正式環境部署</x:v>
      </x:c>
      <x:c r="C18" s="131" t="str">
        <x:v>Justhings</x:v>
      </x:c>
      <x:c r="D18" s="131" t="str">
        <x:v>未開始</x:v>
      </x:c>
      <x:c r="E18" s="146" t="n">
        <x:v>46279</x:v>
      </x:c>
      <x:c r="F18" s="146" t="n">
        <x:v>46279</x:v>
      </x:c>
      <x:c r="G18" s="129" t="str"/>
      <x:c r="H18" s="163" t="str">
        <x:f>IF(AND(H$4&gt;=$E18,H$4&lt;=$F18),"■","")</x:f>
      </x:c>
      <x:c r="I18" s="163" t="str">
        <x:f>IF(AND(I$4&gt;=$E18,I$4&lt;=$F18),"■","")</x:f>
      </x:c>
      <x:c r="J18" s="163" t="str">
        <x:f>IF(AND(J$4&gt;=$E18,J$4&lt;=$F18),"■","")</x:f>
      </x:c>
      <x:c r="K18" s="163" t="str">
        <x:f>IF(AND(K$4&gt;=$E18,K$4&lt;=$F18),"■","")</x:f>
      </x:c>
      <x:c r="L18" s="163" t="str">
        <x:f>IF(AND(L$4&gt;=$E18,L$4&lt;=$F18),"■","")</x:f>
      </x:c>
      <x:c r="M18" s="171" t="str">
        <x:f>IF(AND(M$4&gt;=$E18,M$4&lt;=$F18),"■","")</x:f>
      </x:c>
      <x:c r="N18" s="171" t="str">
        <x:f>IF(AND(N$4&gt;=$E18,N$4&lt;=$F18),"■","")</x:f>
      </x:c>
      <x:c r="O18" s="163" t="str">
        <x:f>IF(AND(O$4&gt;=$E18,O$4&lt;=$F18),"■","")</x:f>
      </x:c>
      <x:c r="P18" s="163" t="str">
        <x:f>IF(AND(P$4&gt;=$E18,P$4&lt;=$F18),"■","")</x:f>
      </x:c>
      <x:c r="Q18" s="163" t="str">
        <x:f>IF(AND(Q$4&gt;=$E18,Q$4&lt;=$F18),"■","")</x:f>
      </x:c>
      <x:c r="R18" s="163" t="str">
        <x:f>IF(AND(R$4&gt;=$E18,R$4&lt;=$F18),"■","")</x:f>
      </x:c>
      <x:c r="S18" s="163" t="str">
        <x:f>IF(AND(S$4&gt;=$E18,S$4&lt;=$F18),"■","")</x:f>
      </x:c>
      <x:c r="T18" s="171" t="str">
        <x:f>IF(AND(T$4&gt;=$E18,T$4&lt;=$F18),"■","")</x:f>
      </x:c>
      <x:c r="U18" s="171" t="str">
        <x:f>IF(AND(U$4&gt;=$E18,U$4&lt;=$F18),"■","")</x:f>
      </x:c>
      <x:c r="V18" s="163" t="str">
        <x:f>IF(AND(V$4&gt;=$E18,V$4&lt;=$F18),"■","")</x:f>
      </x:c>
      <x:c r="W18" s="163" t="str">
        <x:f>IF(AND(W$4&gt;=$E18,W$4&lt;=$F18),"■","")</x:f>
      </x:c>
      <x:c r="X18" s="163" t="str">
        <x:f>IF(AND(X$4&gt;=$E18,X$4&lt;=$F18),"■","")</x:f>
      </x:c>
      <x:c r="Y18" s="163" t="str">
        <x:f>IF(AND(Y$4&gt;=$E18,Y$4&lt;=$F18),"■","")</x:f>
      </x:c>
      <x:c r="Z18" s="163" t="str">
        <x:f>IF(AND(Z$4&gt;=$E18,Z$4&lt;=$F18),"■","")</x:f>
      </x:c>
      <x:c r="AA18" s="171" t="str">
        <x:f>IF(AND(AA$4&gt;=$E18,AA$4&lt;=$F18),"■","")</x:f>
      </x:c>
      <x:c r="AB18" s="171" t="str">
        <x:f>IF(AND(AB$4&gt;=$E18,AB$4&lt;=$F18),"■","")</x:f>
      </x:c>
      <x:c r="AC18" s="163" t="str">
        <x:f>IF(AND(AC$4&gt;=$E18,AC$4&lt;=$F18),"■","")</x:f>
      </x:c>
      <x:c r="AD18" s="163" t="str">
        <x:f>IF(AND(AD$4&gt;=$E18,AD$4&lt;=$F18),"■","")</x:f>
      </x:c>
      <x:c r="AE18" s="163" t="str">
        <x:f>IF(AND(AE$4&gt;=$E18,AE$4&lt;=$F18),"■","")</x:f>
      </x:c>
      <x:c r="AF18" s="163" t="str">
        <x:f>IF(AND(AF$4&gt;=$E18,AF$4&lt;=$F18),"■","")</x:f>
      </x:c>
      <x:c r="AG18" s="163" t="str">
        <x:f>IF(AND(AG$4&gt;=$E18,AG$4&lt;=$F18),"■","")</x:f>
      </x:c>
      <x:c r="AH18" s="171" t="str">
        <x:f>IF(AND(AH$4&gt;=$E18,AH$4&lt;=$F18),"■","")</x:f>
      </x:c>
      <x:c r="AI18" s="171" t="str">
        <x:f>IF(AND(AI$4&gt;=$E18,AI$4&lt;=$F18),"■","")</x:f>
      </x:c>
      <x:c r="AJ18" s="163" t="str">
        <x:f>IF(AND(AJ$4&gt;=$E18,AJ$4&lt;=$F18),"■","")</x:f>
      </x:c>
      <x:c r="AK18" s="163" t="str">
        <x:f>IF(AND(AK$4&gt;=$E18,AK$4&lt;=$F18),"■","")</x:f>
      </x:c>
      <x:c r="AL18" s="163" t="str">
        <x:f>IF(AND(AL$4&gt;=$E18,AL$4&lt;=$F18),"■","")</x:f>
      </x:c>
      <x:c r="AM18" s="163" t="str">
        <x:f>IF(AND(AM$4&gt;=$E18,AM$4&lt;=$F18),"■","")</x:f>
      </x:c>
      <x:c r="AN18" s="163" t="str">
        <x:f>IF(AND(AN$4&gt;=$E18,AN$4&lt;=$F18),"■","")</x:f>
      </x:c>
      <x:c r="AO18" s="171" t="str">
        <x:f>IF(AND(AO$4&gt;=$E18,AO$4&lt;=$F18),"■","")</x:f>
      </x:c>
      <x:c r="AP18" s="171" t="str">
        <x:f>IF(AND(AP$4&gt;=$E18,AP$4&lt;=$F18),"■","")</x:f>
      </x:c>
      <x:c r="AQ18" s="163" t="str">
        <x:f>IF(AND(AQ$4&gt;=$E18,AQ$4&lt;=$F18),"■","")</x:f>
        <x:v>■</x:v>
      </x:c>
      <x:c r="AR18" s="163" t="str">
        <x:f>IF(AND(AR$4&gt;=$E18,AR$4&lt;=$F18),"■","")</x:f>
      </x:c>
    </x:row>
    <x:row r="19" ht="19.5" customHeight="1">
      <x:c r="A19" s="165" t="str">
        <x:v>上線</x:v>
      </x:c>
      <x:c r="B19" s="129" t="str">
        <x:v>正式上線</x:v>
      </x:c>
      <x:c r="C19" s="131" t="str">
        <x:v>TIRI / Justhings</x:v>
      </x:c>
      <x:c r="D19" s="131" t="str">
        <x:v>未開始</x:v>
      </x:c>
      <x:c r="E19" s="146" t="n">
        <x:v>46280</x:v>
      </x:c>
      <x:c r="F19" s="146" t="n">
        <x:v>46280</x:v>
      </x:c>
      <x:c r="G19" s="129" t="str">
        <x:v>2026-09-15</x:v>
      </x:c>
      <x:c r="H19" s="163" t="str">
        <x:f>IF(AND(H$4&gt;=$E19,H$4&lt;=$F19),"■","")</x:f>
      </x:c>
      <x:c r="I19" s="163" t="str">
        <x:f>IF(AND(I$4&gt;=$E19,I$4&lt;=$F19),"■","")</x:f>
      </x:c>
      <x:c r="J19" s="163" t="str">
        <x:f>IF(AND(J$4&gt;=$E19,J$4&lt;=$F19),"■","")</x:f>
      </x:c>
      <x:c r="K19" s="163" t="str">
        <x:f>IF(AND(K$4&gt;=$E19,K$4&lt;=$F19),"■","")</x:f>
      </x:c>
      <x:c r="L19" s="163" t="str">
        <x:f>IF(AND(L$4&gt;=$E19,L$4&lt;=$F19),"■","")</x:f>
      </x:c>
      <x:c r="M19" s="171" t="str">
        <x:f>IF(AND(M$4&gt;=$E19,M$4&lt;=$F19),"■","")</x:f>
      </x:c>
      <x:c r="N19" s="171" t="str">
        <x:f>IF(AND(N$4&gt;=$E19,N$4&lt;=$F19),"■","")</x:f>
      </x:c>
      <x:c r="O19" s="163" t="str">
        <x:f>IF(AND(O$4&gt;=$E19,O$4&lt;=$F19),"■","")</x:f>
      </x:c>
      <x:c r="P19" s="163" t="str">
        <x:f>IF(AND(P$4&gt;=$E19,P$4&lt;=$F19),"■","")</x:f>
      </x:c>
      <x:c r="Q19" s="163" t="str">
        <x:f>IF(AND(Q$4&gt;=$E19,Q$4&lt;=$F19),"■","")</x:f>
      </x:c>
      <x:c r="R19" s="163" t="str">
        <x:f>IF(AND(R$4&gt;=$E19,R$4&lt;=$F19),"■","")</x:f>
      </x:c>
      <x:c r="S19" s="163" t="str">
        <x:f>IF(AND(S$4&gt;=$E19,S$4&lt;=$F19),"■","")</x:f>
      </x:c>
      <x:c r="T19" s="171" t="str">
        <x:f>IF(AND(T$4&gt;=$E19,T$4&lt;=$F19),"■","")</x:f>
      </x:c>
      <x:c r="U19" s="171" t="str">
        <x:f>IF(AND(U$4&gt;=$E19,U$4&lt;=$F19),"■","")</x:f>
      </x:c>
      <x:c r="V19" s="163" t="str">
        <x:f>IF(AND(V$4&gt;=$E19,V$4&lt;=$F19),"■","")</x:f>
      </x:c>
      <x:c r="W19" s="163" t="str">
        <x:f>IF(AND(W$4&gt;=$E19,W$4&lt;=$F19),"■","")</x:f>
      </x:c>
      <x:c r="X19" s="163" t="str">
        <x:f>IF(AND(X$4&gt;=$E19,X$4&lt;=$F19),"■","")</x:f>
      </x:c>
      <x:c r="Y19" s="163" t="str">
        <x:f>IF(AND(Y$4&gt;=$E19,Y$4&lt;=$F19),"■","")</x:f>
      </x:c>
      <x:c r="Z19" s="163" t="str">
        <x:f>IF(AND(Z$4&gt;=$E19,Z$4&lt;=$F19),"■","")</x:f>
      </x:c>
      <x:c r="AA19" s="171" t="str">
        <x:f>IF(AND(AA$4&gt;=$E19,AA$4&lt;=$F19),"■","")</x:f>
      </x:c>
      <x:c r="AB19" s="171" t="str">
        <x:f>IF(AND(AB$4&gt;=$E19,AB$4&lt;=$F19),"■","")</x:f>
      </x:c>
      <x:c r="AC19" s="163" t="str">
        <x:f>IF(AND(AC$4&gt;=$E19,AC$4&lt;=$F19),"■","")</x:f>
      </x:c>
      <x:c r="AD19" s="163" t="str">
        <x:f>IF(AND(AD$4&gt;=$E19,AD$4&lt;=$F19),"■","")</x:f>
      </x:c>
      <x:c r="AE19" s="163" t="str">
        <x:f>IF(AND(AE$4&gt;=$E19,AE$4&lt;=$F19),"■","")</x:f>
      </x:c>
      <x:c r="AF19" s="163" t="str">
        <x:f>IF(AND(AF$4&gt;=$E19,AF$4&lt;=$F19),"■","")</x:f>
      </x:c>
      <x:c r="AG19" s="163" t="str">
        <x:f>IF(AND(AG$4&gt;=$E19,AG$4&lt;=$F19),"■","")</x:f>
      </x:c>
      <x:c r="AH19" s="171" t="str">
        <x:f>IF(AND(AH$4&gt;=$E19,AH$4&lt;=$F19),"■","")</x:f>
      </x:c>
      <x:c r="AI19" s="171" t="str">
        <x:f>IF(AND(AI$4&gt;=$E19,AI$4&lt;=$F19),"■","")</x:f>
      </x:c>
      <x:c r="AJ19" s="163" t="str">
        <x:f>IF(AND(AJ$4&gt;=$E19,AJ$4&lt;=$F19),"■","")</x:f>
      </x:c>
      <x:c r="AK19" s="163" t="str">
        <x:f>IF(AND(AK$4&gt;=$E19,AK$4&lt;=$F19),"■","")</x:f>
      </x:c>
      <x:c r="AL19" s="163" t="str">
        <x:f>IF(AND(AL$4&gt;=$E19,AL$4&lt;=$F19),"■","")</x:f>
      </x:c>
      <x:c r="AM19" s="163" t="str">
        <x:f>IF(AND(AM$4&gt;=$E19,AM$4&lt;=$F19),"■","")</x:f>
      </x:c>
      <x:c r="AN19" s="163" t="str">
        <x:f>IF(AND(AN$4&gt;=$E19,AN$4&lt;=$F19),"■","")</x:f>
      </x:c>
      <x:c r="AO19" s="171" t="str">
        <x:f>IF(AND(AO$4&gt;=$E19,AO$4&lt;=$F19),"■","")</x:f>
      </x:c>
      <x:c r="AP19" s="171" t="str">
        <x:f>IF(AND(AP$4&gt;=$E19,AP$4&lt;=$F19),"■","")</x:f>
      </x:c>
      <x:c r="AQ19" s="163" t="str">
        <x:f>IF(AND(AQ$4&gt;=$E19,AQ$4&lt;=$F19),"■","")</x:f>
      </x:c>
      <x:c r="AR19" s="163" t="str">
        <x:f>IF(AND(AR$4&gt;=$E19,AR$4&lt;=$F19),"■","")</x:f>
        <x:v>■</x:v>
      </x:c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</x:row>
    <x:row r="21">
      <x:c r="A21" s="176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B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C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D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E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F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G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H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I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J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K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L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M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N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O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P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Q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R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S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T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U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V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W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X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Y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Z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A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B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C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D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E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F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G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H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I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J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K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L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M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N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O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P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Q21" s="177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R21" s="178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</x:row>
    <x:row r="22">
      <x:c r="A22" s="179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B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C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D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E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F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G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H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I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J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K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L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M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N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O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P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Q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R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S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T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U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V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W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X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Y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Z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A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B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C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D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E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F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G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H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I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J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K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L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M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N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O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P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Q22" s="175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R22" s="180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</x:row>
    <x:row r="23">
      <x:c r="A23" s="181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B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C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D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E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F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G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H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I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J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K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L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M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N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O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P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Q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R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S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T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U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V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W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X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Y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Z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A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B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C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D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E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F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G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H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I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J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K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L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M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N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O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P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Q23" s="182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  <x:c r="AR23" s="183" t="str">
        <x:v>時程前提：（1）TIRI 於 8/28 前提供英文定稿、圖片與附件；（2）CMS 能否新增次層、新頁面與動態內容，應於開發前完成決策；（3）TIRI 於 9/10～9/11 一次提供整合回饋。如內容或範圍確認延後，9/15 上線風險會直接提高。</x:v>
      </x:c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</x:row>
  </x:sheetData>
  <x:mergeCells>
    <x:mergeCell ref="A1:AR2"/>
    <x:mergeCell ref="A3:AR3"/>
    <x:mergeCell ref="A21:AR23"/>
  </x:mergeCells>
  <x:conditionalFormatting sqref="D5:D19">
    <x:cfRule type="containsText" dxfId="5" priority="1" operator="containsText" text="已完成"/>
    <x:cfRule type="containsText" dxfId="6" priority="2" operator="containsText" text="進行中"/>
    <x:cfRule type="containsText" dxfId="7" priority="3" operator="containsText" text="待確認"/>
  </x:conditionalFormatting>
  <x:dataValidations count="1">
    <x:dataValidation type="list" sqref="D5:D19">
      <x:formula1>"未開始,進行中,待確認,已完成"</x:formula1>
    </x:dataValidation>
  </x:dataValidations>
  <x:pageMargins left="0.7" right="0.7" top="0.75" bottom="0.75" header="0.3" footer="0.3"/>
</x:worksheet>
</file>